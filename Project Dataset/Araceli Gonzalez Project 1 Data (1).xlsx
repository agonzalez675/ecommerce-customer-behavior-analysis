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raceli\Downloads\"/>
    </mc:Choice>
  </mc:AlternateContent>
  <xr:revisionPtr revIDLastSave="0" documentId="13_ncr:1_{80DCD723-1BE9-4BE7-B0FC-DD6403CC20F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Data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" i="1" l="1"/>
  <c r="AD2" i="1"/>
</calcChain>
</file>

<file path=xl/sharedStrings.xml><?xml version="1.0" encoding="utf-8"?>
<sst xmlns="http://schemas.openxmlformats.org/spreadsheetml/2006/main" count="230" uniqueCount="62">
  <si>
    <t>Customer</t>
  </si>
  <si>
    <t>Day</t>
  </si>
  <si>
    <t>Time (min)</t>
  </si>
  <si>
    <t>Pages Viewed</t>
  </si>
  <si>
    <t>Amount Spent ($)</t>
  </si>
  <si>
    <t>Mon</t>
  </si>
  <si>
    <t>Wed</t>
  </si>
  <si>
    <t>Tue</t>
  </si>
  <si>
    <t>Sat</t>
  </si>
  <si>
    <t>Sun</t>
  </si>
  <si>
    <t>Fri</t>
  </si>
  <si>
    <t>Thu</t>
  </si>
  <si>
    <t>Apple Pay</t>
  </si>
  <si>
    <t>Crdit Card</t>
  </si>
  <si>
    <t>PayPal</t>
  </si>
  <si>
    <t>Payment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</si>
  <si>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</si>
  <si>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</si>
  <si>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</si>
  <si>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</si>
  <si>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</si>
  <si>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</si>
  <si>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</si>
  <si>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</si>
  <si>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</si>
  <si>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</si>
  <si>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</si>
  <si>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</si>
  <si>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</si>
  <si>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0-5</t>
  </si>
  <si>
    <t>5-10</t>
  </si>
  <si>
    <t>10-15</t>
  </si>
  <si>
    <t>15-20</t>
  </si>
  <si>
    <t>20-25</t>
  </si>
  <si>
    <t>30-35</t>
  </si>
  <si>
    <t>Row Labels</t>
  </si>
  <si>
    <t>Grand Total</t>
  </si>
  <si>
    <t>Count of Time (min)</t>
  </si>
  <si>
    <t>Count of Pages Viewed</t>
  </si>
  <si>
    <t>2-3</t>
  </si>
  <si>
    <t>4-5</t>
  </si>
  <si>
    <t>6-7</t>
  </si>
  <si>
    <t>8-10</t>
  </si>
  <si>
    <t>Sum of Amount Spent ($)</t>
  </si>
  <si>
    <t>Count of Amount Spent ($)</t>
  </si>
  <si>
    <t>15-25</t>
  </si>
  <si>
    <t>25-35</t>
  </si>
  <si>
    <t>35-45</t>
  </si>
  <si>
    <t>45-55</t>
  </si>
  <si>
    <t>55-65</t>
  </si>
  <si>
    <t>65-75</t>
  </si>
  <si>
    <t>75-85</t>
  </si>
  <si>
    <t>85-95</t>
  </si>
  <si>
    <t>95-105</t>
  </si>
  <si>
    <t>105-115</t>
  </si>
  <si>
    <t>115-125</t>
  </si>
  <si>
    <t>125-135</t>
  </si>
  <si>
    <t>155-165</t>
  </si>
  <si>
    <t>Count of Day</t>
  </si>
  <si>
    <t>Average of Amount Spent ($)</t>
  </si>
  <si>
    <t>Count of Payment</t>
  </si>
  <si>
    <t>Correlation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</si>
</sst>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0"/>
  </numFmts>
  <fonts count="4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i/>
      <sz val="12"/>
      <color theme="1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164" fontId="2" fillId="2" borderId="2" xfId="0" applyNumberFormat="1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5" xfId="0" applyFont="1" applyFill="1" applyBorder="1"/>
    <xf numFmtId="164" fontId="1" fillId="3" borderId="5" xfId="0" applyNumberFormat="1" applyFont="1" applyFill="1" applyBorder="1" applyAlignment="1">
      <alignment horizontal="center"/>
    </xf>
    <xf numFmtId="2" fontId="1" fillId="3" borderId="6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2" fontId="1" fillId="3" borderId="8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0" xfId="0" applyFont="1" applyFill="1" applyBorder="1"/>
    <xf numFmtId="164" fontId="1" fillId="3" borderId="10" xfId="0" applyNumberFormat="1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0" fontId="1" fillId="3" borderId="0" xfId="0" applyFont="1" applyFill="1"/>
    <xf numFmtId="0" fontId="0" fillId="4" borderId="0" xfId="0" applyFill="1"/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2" fontId="0" fillId="4" borderId="0" xfId="0" applyNumberFormat="1" applyFill="1" applyAlignment="1">
      <alignment horizontal="left"/>
    </xf>
    <xf numFmtId="0" fontId="0" fillId="4" borderId="0" xfId="0" applyFill="1" applyAlignment="1">
      <alignment horizontal="center"/>
    </xf>
    <xf numFmtId="0" fontId="0" fillId="5" borderId="0" xfId="0" applyFill="1"/>
    <xf numFmtId="164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0" fontId="3" fillId="4" borderId="12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65" fontId="0" fillId="4" borderId="10" xfId="0" applyNumberFormat="1" applyFill="1" applyBorder="1" applyAlignment="1">
      <alignment horizontal="center" vertical="center"/>
    </xf>
    <xf numFmtId="4" fontId="0" fillId="4" borderId="0" xfId="0" applyNumberFormat="1" applyFill="1"/>
    <xf numFmtId="4" fontId="0" fillId="5" borderId="0" xfId="0" applyNumberFormat="1" applyFill="1"/>
    <xf numFmtId="2" fontId="0" fillId="4" borderId="0" xfId="0" applyNumberFormat="1" applyFill="1"/>
    <xf numFmtId="2" fontId="0" fillId="5" borderId="0" xfId="0" applyNumberFormat="1" applyFill="1"/>
    <xf numFmtId="2" fontId="0" fillId="5" borderId="0" xfId="0" applyNumberFormat="1" applyFill="1" applyAlignment="1">
      <alignment horizontal="left"/>
    </xf>
  </cellXfs>
  <cellStyles count="1">
    <cellStyle name="Normal" xfId="0" builtinId="0"/>
  </cellStyles>
  <dxfs count="116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4" formatCode="#,##0.00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2" formatCode="0.00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4" formatCode="#,##0.00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2" formatCode="0.00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[Araceli Gonzalez Project 1 Data (1).xlsx]Data!PivotTable1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Time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Data!$I$19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Data!$H$20:$H$26</c:f>
              <c:strCache>
                <c:ptCount val="6"/>
                <c:pt idx="0">
                  <c:v>0-5</c:v>
                </c:pt>
                <c:pt idx="1">
                  <c:v>5-10</c:v>
                </c:pt>
                <c:pt idx="2">
                  <c:v>10-15</c:v>
                </c:pt>
                <c:pt idx="3">
                  <c:v>15-20</c:v>
                </c:pt>
                <c:pt idx="4">
                  <c:v>20-25</c:v>
                </c:pt>
                <c:pt idx="5">
                  <c:v>30-35</c:v>
                </c:pt>
              </c:strCache>
            </c:strRef>
          </c:cat>
          <c:val>
            <c:numRef>
              <c:f>Data!$I$20:$I$26</c:f>
              <c:numCache>
                <c:formatCode>General</c:formatCode>
                <c:ptCount val="6"/>
                <c:pt idx="0">
                  <c:v>1</c:v>
                </c:pt>
                <c:pt idx="1">
                  <c:v>16</c:v>
                </c:pt>
                <c:pt idx="2">
                  <c:v>20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B-46FD-A542-CD6AB0A2E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567728"/>
        <c:axId val="2084563152"/>
      </c:barChart>
      <c:catAx>
        <c:axId val="208456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(min)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563152"/>
        <c:crosses val="autoZero"/>
        <c:auto val="1"/>
        <c:lblAlgn val="ctr"/>
        <c:lblOffset val="100"/>
        <c:noMultiLvlLbl val="0"/>
      </c:catAx>
      <c:valAx>
        <c:axId val="208456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56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[Araceli Gonzalez Project 1 Data (1).xlsx]Data!PivotTable2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Pages Viewed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Data!$I$39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Data!$H$40:$H$44</c:f>
              <c:strCache>
                <c:ptCount val="4"/>
                <c:pt idx="0">
                  <c:v>2-3</c:v>
                </c:pt>
                <c:pt idx="1">
                  <c:v>4-5</c:v>
                </c:pt>
                <c:pt idx="2">
                  <c:v>6-7</c:v>
                </c:pt>
                <c:pt idx="3">
                  <c:v>8-10</c:v>
                </c:pt>
              </c:strCache>
            </c:strRef>
          </c:cat>
          <c:val>
            <c:numRef>
              <c:f>Data!$I$40:$I$44</c:f>
              <c:numCache>
                <c:formatCode>General</c:formatCode>
                <c:ptCount val="4"/>
                <c:pt idx="0">
                  <c:v>13</c:v>
                </c:pt>
                <c:pt idx="1">
                  <c:v>21</c:v>
                </c:pt>
                <c:pt idx="2">
                  <c:v>12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2-4F1F-8F49-E35FA9F16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5932432"/>
        <c:axId val="2085937008"/>
      </c:barChart>
      <c:catAx>
        <c:axId val="2085932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Pages</a:t>
                </a:r>
                <a:r>
                  <a:rPr lang="en-US" baseline="0"/>
                  <a:t> Viewed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937008"/>
        <c:crosses val="autoZero"/>
        <c:auto val="1"/>
        <c:lblAlgn val="ctr"/>
        <c:lblOffset val="100"/>
        <c:noMultiLvlLbl val="0"/>
      </c:catAx>
      <c:valAx>
        <c:axId val="208593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93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[Araceli Gonzalez Project 1 Data (1).xlsx]Data!PivotTable3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Amount Spent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Data!$I$59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Data!$H$60:$H$73</c:f>
              <c:strCache>
                <c:ptCount val="13"/>
                <c:pt idx="0">
                  <c:v>15-25</c:v>
                </c:pt>
                <c:pt idx="1">
                  <c:v>25-35</c:v>
                </c:pt>
                <c:pt idx="2">
                  <c:v>35-45</c:v>
                </c:pt>
                <c:pt idx="3">
                  <c:v>45-55</c:v>
                </c:pt>
                <c:pt idx="4">
                  <c:v>55-65</c:v>
                </c:pt>
                <c:pt idx="5">
                  <c:v>65-75</c:v>
                </c:pt>
                <c:pt idx="6">
                  <c:v>75-85</c:v>
                </c:pt>
                <c:pt idx="7">
                  <c:v>85-95</c:v>
                </c:pt>
                <c:pt idx="8">
                  <c:v>95-105</c:v>
                </c:pt>
                <c:pt idx="9">
                  <c:v>105-115</c:v>
                </c:pt>
                <c:pt idx="10">
                  <c:v>115-125</c:v>
                </c:pt>
                <c:pt idx="11">
                  <c:v>125-135</c:v>
                </c:pt>
                <c:pt idx="12">
                  <c:v>155-165</c:v>
                </c:pt>
              </c:strCache>
            </c:strRef>
          </c:cat>
          <c:val>
            <c:numRef>
              <c:f>Data!$I$60:$I$73</c:f>
              <c:numCache>
                <c:formatCode>General</c:formatCode>
                <c:ptCount val="13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10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4-48C7-A7B2-B8954C782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5934096"/>
        <c:axId val="2085934928"/>
      </c:barChart>
      <c:catAx>
        <c:axId val="2085934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Spent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934928"/>
        <c:crosses val="autoZero"/>
        <c:auto val="1"/>
        <c:lblAlgn val="ctr"/>
        <c:lblOffset val="100"/>
        <c:noMultiLvlLbl val="0"/>
      </c:catAx>
      <c:valAx>
        <c:axId val="208593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93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Amount Spent ($)</a:t>
            </a:r>
            <a:r>
              <a:rPr lang="en-US" baseline="0"/>
              <a:t> and Time (min)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Amount Spent ($)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Data!$D$2:$D$51</c:f>
              <c:numCache>
                <c:formatCode>0.0</c:formatCode>
                <c:ptCount val="50"/>
                <c:pt idx="0">
                  <c:v>17.5</c:v>
                </c:pt>
                <c:pt idx="1">
                  <c:v>12</c:v>
                </c:pt>
                <c:pt idx="2">
                  <c:v>8.5</c:v>
                </c:pt>
                <c:pt idx="3">
                  <c:v>11.4</c:v>
                </c:pt>
                <c:pt idx="4">
                  <c:v>11.3</c:v>
                </c:pt>
                <c:pt idx="5">
                  <c:v>10.5</c:v>
                </c:pt>
                <c:pt idx="6">
                  <c:v>11.4</c:v>
                </c:pt>
                <c:pt idx="7">
                  <c:v>4.3</c:v>
                </c:pt>
                <c:pt idx="8">
                  <c:v>12.700000000000001</c:v>
                </c:pt>
                <c:pt idx="9">
                  <c:v>24.7</c:v>
                </c:pt>
                <c:pt idx="10">
                  <c:v>13.3</c:v>
                </c:pt>
                <c:pt idx="11">
                  <c:v>14.3</c:v>
                </c:pt>
                <c:pt idx="12">
                  <c:v>11.700000000000001</c:v>
                </c:pt>
                <c:pt idx="13">
                  <c:v>24.400000000000002</c:v>
                </c:pt>
                <c:pt idx="14">
                  <c:v>8.4</c:v>
                </c:pt>
                <c:pt idx="15">
                  <c:v>9.6</c:v>
                </c:pt>
                <c:pt idx="16">
                  <c:v>23.3</c:v>
                </c:pt>
                <c:pt idx="17">
                  <c:v>14</c:v>
                </c:pt>
                <c:pt idx="18">
                  <c:v>5.6000000000000005</c:v>
                </c:pt>
                <c:pt idx="19">
                  <c:v>15.1</c:v>
                </c:pt>
                <c:pt idx="20">
                  <c:v>16.3</c:v>
                </c:pt>
                <c:pt idx="21">
                  <c:v>10.199999999999999</c:v>
                </c:pt>
                <c:pt idx="22">
                  <c:v>8</c:v>
                </c:pt>
                <c:pt idx="23">
                  <c:v>8</c:v>
                </c:pt>
                <c:pt idx="24">
                  <c:v>9.6</c:v>
                </c:pt>
                <c:pt idx="25">
                  <c:v>11</c:v>
                </c:pt>
                <c:pt idx="26">
                  <c:v>16.899999999999999</c:v>
                </c:pt>
                <c:pt idx="27">
                  <c:v>6</c:v>
                </c:pt>
                <c:pt idx="28">
                  <c:v>32.9</c:v>
                </c:pt>
                <c:pt idx="29">
                  <c:v>11.8</c:v>
                </c:pt>
                <c:pt idx="30">
                  <c:v>7.1000000000000005</c:v>
                </c:pt>
                <c:pt idx="31">
                  <c:v>18</c:v>
                </c:pt>
                <c:pt idx="32">
                  <c:v>11.8</c:v>
                </c:pt>
                <c:pt idx="33">
                  <c:v>9.1</c:v>
                </c:pt>
                <c:pt idx="34">
                  <c:v>7.8</c:v>
                </c:pt>
                <c:pt idx="35">
                  <c:v>16.5</c:v>
                </c:pt>
                <c:pt idx="36">
                  <c:v>6.2</c:v>
                </c:pt>
                <c:pt idx="37">
                  <c:v>11.3</c:v>
                </c:pt>
                <c:pt idx="38">
                  <c:v>10.6</c:v>
                </c:pt>
                <c:pt idx="39">
                  <c:v>5</c:v>
                </c:pt>
                <c:pt idx="40">
                  <c:v>15.9</c:v>
                </c:pt>
                <c:pt idx="41">
                  <c:v>18.100000000000001</c:v>
                </c:pt>
                <c:pt idx="42">
                  <c:v>10.8</c:v>
                </c:pt>
                <c:pt idx="43">
                  <c:v>13.3</c:v>
                </c:pt>
                <c:pt idx="44">
                  <c:v>30.1</c:v>
                </c:pt>
                <c:pt idx="45">
                  <c:v>13.700000000000001</c:v>
                </c:pt>
                <c:pt idx="46">
                  <c:v>8.1</c:v>
                </c:pt>
                <c:pt idx="47">
                  <c:v>9.6999999999999993</c:v>
                </c:pt>
                <c:pt idx="48">
                  <c:v>7.3</c:v>
                </c:pt>
                <c:pt idx="49">
                  <c:v>13.4</c:v>
                </c:pt>
              </c:numCache>
            </c:numRef>
          </c:xVal>
          <c:yVal>
            <c:numRef>
              <c:f>Data!$F$2:$F$51</c:f>
              <c:numCache>
                <c:formatCode>0.00</c:formatCode>
                <c:ptCount val="50"/>
                <c:pt idx="0">
                  <c:v>109</c:v>
                </c:pt>
                <c:pt idx="1">
                  <c:v>54.519999999999996</c:v>
                </c:pt>
                <c:pt idx="2">
                  <c:v>26.68</c:v>
                </c:pt>
                <c:pt idx="3">
                  <c:v>44.730000000000004</c:v>
                </c:pt>
                <c:pt idx="4">
                  <c:v>66.27</c:v>
                </c:pt>
                <c:pt idx="5">
                  <c:v>67.8</c:v>
                </c:pt>
                <c:pt idx="6">
                  <c:v>36.04</c:v>
                </c:pt>
                <c:pt idx="7">
                  <c:v>55.960000000000008</c:v>
                </c:pt>
                <c:pt idx="8">
                  <c:v>70.94</c:v>
                </c:pt>
                <c:pt idx="9">
                  <c:v>68.73</c:v>
                </c:pt>
                <c:pt idx="10">
                  <c:v>54.040000000000006</c:v>
                </c:pt>
                <c:pt idx="11">
                  <c:v>48.05</c:v>
                </c:pt>
                <c:pt idx="12">
                  <c:v>64.16</c:v>
                </c:pt>
                <c:pt idx="13">
                  <c:v>158.51</c:v>
                </c:pt>
                <c:pt idx="14">
                  <c:v>84.12</c:v>
                </c:pt>
                <c:pt idx="15">
                  <c:v>59.2</c:v>
                </c:pt>
                <c:pt idx="16">
                  <c:v>91.62</c:v>
                </c:pt>
                <c:pt idx="17">
                  <c:v>126.4</c:v>
                </c:pt>
                <c:pt idx="18">
                  <c:v>68.45</c:v>
                </c:pt>
                <c:pt idx="19">
                  <c:v>32.69</c:v>
                </c:pt>
                <c:pt idx="20">
                  <c:v>78.58</c:v>
                </c:pt>
                <c:pt idx="21">
                  <c:v>74.430000000000007</c:v>
                </c:pt>
                <c:pt idx="22">
                  <c:v>32.730000000000004</c:v>
                </c:pt>
                <c:pt idx="23">
                  <c:v>48.66</c:v>
                </c:pt>
                <c:pt idx="24">
                  <c:v>54.66</c:v>
                </c:pt>
                <c:pt idx="25">
                  <c:v>40.54</c:v>
                </c:pt>
                <c:pt idx="26">
                  <c:v>34.69</c:v>
                </c:pt>
                <c:pt idx="27">
                  <c:v>27.910000000000004</c:v>
                </c:pt>
                <c:pt idx="28">
                  <c:v>155.30000000000001</c:v>
                </c:pt>
                <c:pt idx="29">
                  <c:v>120.25</c:v>
                </c:pt>
                <c:pt idx="30">
                  <c:v>41.2</c:v>
                </c:pt>
                <c:pt idx="31">
                  <c:v>134.4</c:v>
                </c:pt>
                <c:pt idx="32">
                  <c:v>37.17</c:v>
                </c:pt>
                <c:pt idx="33">
                  <c:v>52.09</c:v>
                </c:pt>
                <c:pt idx="34">
                  <c:v>71.81</c:v>
                </c:pt>
                <c:pt idx="35">
                  <c:v>59.989999999999995</c:v>
                </c:pt>
                <c:pt idx="36">
                  <c:v>84.17</c:v>
                </c:pt>
                <c:pt idx="37">
                  <c:v>55.58</c:v>
                </c:pt>
                <c:pt idx="38">
                  <c:v>39.06</c:v>
                </c:pt>
                <c:pt idx="39">
                  <c:v>36.480000000000004</c:v>
                </c:pt>
                <c:pt idx="40">
                  <c:v>67.44</c:v>
                </c:pt>
                <c:pt idx="41">
                  <c:v>60.14</c:v>
                </c:pt>
                <c:pt idx="42">
                  <c:v>70.38</c:v>
                </c:pt>
                <c:pt idx="43">
                  <c:v>110.65</c:v>
                </c:pt>
                <c:pt idx="44">
                  <c:v>104.23</c:v>
                </c:pt>
                <c:pt idx="45">
                  <c:v>68.17</c:v>
                </c:pt>
                <c:pt idx="46">
                  <c:v>17.840000000000003</c:v>
                </c:pt>
                <c:pt idx="47">
                  <c:v>103.15</c:v>
                </c:pt>
                <c:pt idx="48">
                  <c:v>52.150000000000006</c:v>
                </c:pt>
                <c:pt idx="49">
                  <c:v>98.75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13-400B-B1A4-DBC681B1B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4564816"/>
        <c:axId val="2085927024"/>
      </c:scatterChart>
      <c:valAx>
        <c:axId val="208456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927024"/>
        <c:crosses val="autoZero"/>
        <c:crossBetween val="midCat"/>
      </c:valAx>
      <c:valAx>
        <c:axId val="208592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Spent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56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Amount Spent ($) and Pages Viewed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Amount Spent ($)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Data!$E$2:$E$51</c:f>
              <c:numCache>
                <c:formatCode>General</c:formatCode>
                <c:ptCount val="5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10</c:v>
                </c:pt>
                <c:pt idx="14">
                  <c:v>3</c:v>
                </c:pt>
                <c:pt idx="15">
                  <c:v>4</c:v>
                </c:pt>
                <c:pt idx="16">
                  <c:v>7</c:v>
                </c:pt>
                <c:pt idx="17">
                  <c:v>7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5</c:v>
                </c:pt>
                <c:pt idx="27">
                  <c:v>4</c:v>
                </c:pt>
                <c:pt idx="28">
                  <c:v>10</c:v>
                </c:pt>
                <c:pt idx="29">
                  <c:v>9</c:v>
                </c:pt>
                <c:pt idx="30">
                  <c:v>2</c:v>
                </c:pt>
                <c:pt idx="31">
                  <c:v>8</c:v>
                </c:pt>
                <c:pt idx="32">
                  <c:v>4</c:v>
                </c:pt>
                <c:pt idx="33">
                  <c:v>3</c:v>
                </c:pt>
                <c:pt idx="34">
                  <c:v>5</c:v>
                </c:pt>
                <c:pt idx="35">
                  <c:v>5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5</c:v>
                </c:pt>
                <c:pt idx="40">
                  <c:v>4</c:v>
                </c:pt>
                <c:pt idx="41">
                  <c:v>7</c:v>
                </c:pt>
                <c:pt idx="42">
                  <c:v>4</c:v>
                </c:pt>
                <c:pt idx="43">
                  <c:v>7</c:v>
                </c:pt>
                <c:pt idx="44">
                  <c:v>6</c:v>
                </c:pt>
                <c:pt idx="45">
                  <c:v>4</c:v>
                </c:pt>
                <c:pt idx="46">
                  <c:v>2</c:v>
                </c:pt>
                <c:pt idx="47">
                  <c:v>5</c:v>
                </c:pt>
                <c:pt idx="48">
                  <c:v>6</c:v>
                </c:pt>
                <c:pt idx="49">
                  <c:v>3</c:v>
                </c:pt>
              </c:numCache>
            </c:numRef>
          </c:xVal>
          <c:yVal>
            <c:numRef>
              <c:f>Data!$F$2:$F$51</c:f>
              <c:numCache>
                <c:formatCode>0.00</c:formatCode>
                <c:ptCount val="50"/>
                <c:pt idx="0">
                  <c:v>109</c:v>
                </c:pt>
                <c:pt idx="1">
                  <c:v>54.519999999999996</c:v>
                </c:pt>
                <c:pt idx="2">
                  <c:v>26.68</c:v>
                </c:pt>
                <c:pt idx="3">
                  <c:v>44.730000000000004</c:v>
                </c:pt>
                <c:pt idx="4">
                  <c:v>66.27</c:v>
                </c:pt>
                <c:pt idx="5">
                  <c:v>67.8</c:v>
                </c:pt>
                <c:pt idx="6">
                  <c:v>36.04</c:v>
                </c:pt>
                <c:pt idx="7">
                  <c:v>55.960000000000008</c:v>
                </c:pt>
                <c:pt idx="8">
                  <c:v>70.94</c:v>
                </c:pt>
                <c:pt idx="9">
                  <c:v>68.73</c:v>
                </c:pt>
                <c:pt idx="10">
                  <c:v>54.040000000000006</c:v>
                </c:pt>
                <c:pt idx="11">
                  <c:v>48.05</c:v>
                </c:pt>
                <c:pt idx="12">
                  <c:v>64.16</c:v>
                </c:pt>
                <c:pt idx="13">
                  <c:v>158.51</c:v>
                </c:pt>
                <c:pt idx="14">
                  <c:v>84.12</c:v>
                </c:pt>
                <c:pt idx="15">
                  <c:v>59.2</c:v>
                </c:pt>
                <c:pt idx="16">
                  <c:v>91.62</c:v>
                </c:pt>
                <c:pt idx="17">
                  <c:v>126.4</c:v>
                </c:pt>
                <c:pt idx="18">
                  <c:v>68.45</c:v>
                </c:pt>
                <c:pt idx="19">
                  <c:v>32.69</c:v>
                </c:pt>
                <c:pt idx="20">
                  <c:v>78.58</c:v>
                </c:pt>
                <c:pt idx="21">
                  <c:v>74.430000000000007</c:v>
                </c:pt>
                <c:pt idx="22">
                  <c:v>32.730000000000004</c:v>
                </c:pt>
                <c:pt idx="23">
                  <c:v>48.66</c:v>
                </c:pt>
                <c:pt idx="24">
                  <c:v>54.66</c:v>
                </c:pt>
                <c:pt idx="25">
                  <c:v>40.54</c:v>
                </c:pt>
                <c:pt idx="26">
                  <c:v>34.69</c:v>
                </c:pt>
                <c:pt idx="27">
                  <c:v>27.910000000000004</c:v>
                </c:pt>
                <c:pt idx="28">
                  <c:v>155.30000000000001</c:v>
                </c:pt>
                <c:pt idx="29">
                  <c:v>120.25</c:v>
                </c:pt>
                <c:pt idx="30">
                  <c:v>41.2</c:v>
                </c:pt>
                <c:pt idx="31">
                  <c:v>134.4</c:v>
                </c:pt>
                <c:pt idx="32">
                  <c:v>37.17</c:v>
                </c:pt>
                <c:pt idx="33">
                  <c:v>52.09</c:v>
                </c:pt>
                <c:pt idx="34">
                  <c:v>71.81</c:v>
                </c:pt>
                <c:pt idx="35">
                  <c:v>59.989999999999995</c:v>
                </c:pt>
                <c:pt idx="36">
                  <c:v>84.17</c:v>
                </c:pt>
                <c:pt idx="37">
                  <c:v>55.58</c:v>
                </c:pt>
                <c:pt idx="38">
                  <c:v>39.06</c:v>
                </c:pt>
                <c:pt idx="39">
                  <c:v>36.480000000000004</c:v>
                </c:pt>
                <c:pt idx="40">
                  <c:v>67.44</c:v>
                </c:pt>
                <c:pt idx="41">
                  <c:v>60.14</c:v>
                </c:pt>
                <c:pt idx="42">
                  <c:v>70.38</c:v>
                </c:pt>
                <c:pt idx="43">
                  <c:v>110.65</c:v>
                </c:pt>
                <c:pt idx="44">
                  <c:v>104.23</c:v>
                </c:pt>
                <c:pt idx="45">
                  <c:v>68.17</c:v>
                </c:pt>
                <c:pt idx="46">
                  <c:v>17.840000000000003</c:v>
                </c:pt>
                <c:pt idx="47">
                  <c:v>103.15</c:v>
                </c:pt>
                <c:pt idx="48">
                  <c:v>52.150000000000006</c:v>
                </c:pt>
                <c:pt idx="49">
                  <c:v>98.75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EB-4D68-A50A-7E8D34EA7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654000"/>
        <c:axId val="337654416"/>
      </c:scatterChart>
      <c:valAx>
        <c:axId val="33765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Pages Viewed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654416"/>
        <c:crosses val="autoZero"/>
        <c:crossBetween val="midCat"/>
      </c:valAx>
      <c:valAx>
        <c:axId val="33765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Spent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65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21772</xdr:colOff>
      <xdr:row>18</xdr:row>
      <xdr:rowOff>27214</xdr:rowOff>
    </xdr:from>
    <xdr:to>
      <xdr:col>17</xdr:col>
      <xdr:colOff>348343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108858</xdr:colOff>
      <xdr:row>38</xdr:row>
      <xdr:rowOff>16327</xdr:rowOff>
    </xdr:from>
    <xdr:to>
      <xdr:col>17</xdr:col>
      <xdr:colOff>359229</xdr:colOff>
      <xdr:row>56</xdr:row>
      <xdr:rowOff>119743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54428</xdr:colOff>
      <xdr:row>58</xdr:row>
      <xdr:rowOff>70756</xdr:rowOff>
    </xdr:from>
    <xdr:to>
      <xdr:col>17</xdr:col>
      <xdr:colOff>359229</xdr:colOff>
      <xdr:row>76</xdr:row>
      <xdr:rowOff>65314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32657</xdr:colOff>
      <xdr:row>3</xdr:row>
      <xdr:rowOff>27215</xdr:rowOff>
    </xdr:from>
    <xdr:to>
      <xdr:col>36</xdr:col>
      <xdr:colOff>337457</xdr:colOff>
      <xdr:row>23</xdr:row>
      <xdr:rowOff>21772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0</xdr:colOff>
      <xdr:row>3</xdr:row>
      <xdr:rowOff>59870</xdr:rowOff>
    </xdr:from>
    <xdr:to>
      <xdr:col>46</xdr:col>
      <xdr:colOff>391885</xdr:colOff>
      <xdr:row>22</xdr:row>
      <xdr:rowOff>174171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ергей" refreshedDate="46186.82828263889" createdVersion="6" refreshedVersion="6" minRefreshableVersion="3" recordCount="50" xr:uid="{00000000-000A-0000-FFFF-FFFF01000000}">
  <cacheSource type="worksheet">
    <worksheetSource ref="A1:F51" sheet="Data"/>
  </cacheSource>
  <cacheFields count="6">
    <cacheField name="Customer" numFmtId="0">
      <sharedItems containsSemiMixedTypes="0" containsString="0" containsNumber="1" containsInteger="1" minValue="1" maxValue="50"/>
    </cacheField>
    <cacheField name="Day" numFmtId="0">
      <sharedItems count="7">
        <s v="Wed"/>
        <s v="Mon"/>
        <s v="Tue"/>
        <s v="Sat"/>
        <s v="Sun"/>
        <s v="Fri"/>
        <s v="Thu"/>
      </sharedItems>
    </cacheField>
    <cacheField name="Payment" numFmtId="0">
      <sharedItems count="3">
        <s v="Apple Pay"/>
        <s v="Crdit Card"/>
        <s v="PayPal"/>
      </sharedItems>
    </cacheField>
    <cacheField name="Time (min)" numFmtId="164">
      <sharedItems containsSemiMixedTypes="0" containsString="0" containsNumber="1" minValue="4.3" maxValue="32.9" count="44">
        <n v="17.5"/>
        <n v="12"/>
        <n v="8.5"/>
        <n v="11.4"/>
        <n v="11.3"/>
        <n v="10.5"/>
        <n v="4.3"/>
        <n v="12.700000000000001"/>
        <n v="24.7"/>
        <n v="13.3"/>
        <n v="14.3"/>
        <n v="11.700000000000001"/>
        <n v="24.400000000000002"/>
        <n v="8.4"/>
        <n v="9.6"/>
        <n v="23.3"/>
        <n v="14"/>
        <n v="5.6000000000000005"/>
        <n v="15.1"/>
        <n v="16.3"/>
        <n v="10.199999999999999"/>
        <n v="8"/>
        <n v="11"/>
        <n v="16.899999999999999"/>
        <n v="6"/>
        <n v="32.9"/>
        <n v="11.8"/>
        <n v="7.1000000000000005"/>
        <n v="18"/>
        <n v="9.1"/>
        <n v="7.8"/>
        <n v="16.5"/>
        <n v="6.2"/>
        <n v="10.6"/>
        <n v="5"/>
        <n v="15.9"/>
        <n v="18.100000000000001"/>
        <n v="10.8"/>
        <n v="30.1"/>
        <n v="13.700000000000001"/>
        <n v="8.1"/>
        <n v="9.6999999999999993"/>
        <n v="7.3"/>
        <n v="13.4"/>
      </sharedItems>
      <fieldGroup base="3">
        <rangePr autoStart="0" autoEnd="0" startNum="0" endNum="35" groupInterval="5"/>
        <groupItems count="9">
          <s v="&lt;0"/>
          <s v="0-5"/>
          <s v="5-10"/>
          <s v="10-15"/>
          <s v="15-20"/>
          <s v="20-25"/>
          <s v="25-30"/>
          <s v="30-35"/>
          <s v="&gt;35"/>
        </groupItems>
      </fieldGroup>
    </cacheField>
    <cacheField name="Pages Viewed" numFmtId="0">
      <sharedItems containsSemiMixedTypes="0" containsString="0" containsNumber="1" containsInteger="1" minValue="2" maxValue="10" count="9">
        <n v="4"/>
        <n v="2"/>
        <n v="6"/>
        <n v="3"/>
        <n v="7"/>
        <n v="5"/>
        <n v="10"/>
        <n v="9"/>
        <n v="8"/>
      </sharedItems>
      <fieldGroup base="4">
        <rangePr startNum="2" endNum="10" groupInterval="2"/>
        <groupItems count="6">
          <s v="&lt;2"/>
          <s v="2-3"/>
          <s v="4-5"/>
          <s v="6-7"/>
          <s v="8-10"/>
          <s v="&gt;10"/>
        </groupItems>
      </fieldGroup>
    </cacheField>
    <cacheField name="Amount Spent ($)" numFmtId="2">
      <sharedItems containsSemiMixedTypes="0" containsString="0" containsNumber="1" minValue="17.840000000000003" maxValue="158.51" count="50">
        <n v="109"/>
        <n v="54.519999999999996"/>
        <n v="26.68"/>
        <n v="44.730000000000004"/>
        <n v="66.27"/>
        <n v="67.8"/>
        <n v="36.04"/>
        <n v="55.960000000000008"/>
        <n v="70.94"/>
        <n v="68.73"/>
        <n v="54.040000000000006"/>
        <n v="48.05"/>
        <n v="64.16"/>
        <n v="158.51"/>
        <n v="84.12"/>
        <n v="59.2"/>
        <n v="91.62"/>
        <n v="126.4"/>
        <n v="68.45"/>
        <n v="32.69"/>
        <n v="78.58"/>
        <n v="74.430000000000007"/>
        <n v="32.730000000000004"/>
        <n v="48.66"/>
        <n v="54.66"/>
        <n v="40.54"/>
        <n v="34.69"/>
        <n v="27.910000000000004"/>
        <n v="155.30000000000001"/>
        <n v="120.25"/>
        <n v="41.2"/>
        <n v="134.4"/>
        <n v="37.17"/>
        <n v="52.09"/>
        <n v="71.81"/>
        <n v="59.989999999999995"/>
        <n v="84.17"/>
        <n v="55.58"/>
        <n v="39.06"/>
        <n v="36.480000000000004"/>
        <n v="67.44"/>
        <n v="60.14"/>
        <n v="70.38"/>
        <n v="110.65"/>
        <n v="104.23"/>
        <n v="68.17"/>
        <n v="17.840000000000003"/>
        <n v="103.15"/>
        <n v="52.150000000000006"/>
        <n v="98.75"/>
      </sharedItems>
      <fieldGroup base="5">
        <rangePr autoStart="0" autoEnd="0" startNum="15" endNum="165" groupInterval="10"/>
        <groupItems count="17">
          <s v="&lt;15"/>
          <s v="15-25"/>
          <s v="25-35"/>
          <s v="35-45"/>
          <s v="45-55"/>
          <s v="55-65"/>
          <s v="65-75"/>
          <s v="75-85"/>
          <s v="85-95"/>
          <s v="95-105"/>
          <s v="105-115"/>
          <s v="115-125"/>
          <s v="125-135"/>
          <s v="135-145"/>
          <s v="145-155"/>
          <s v="155-165"/>
          <s v="&gt;16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n v="1"/>
    <x v="0"/>
    <x v="0"/>
    <x v="0"/>
    <x v="0"/>
    <x v="0"/>
  </r>
  <r>
    <n v="2"/>
    <x v="1"/>
    <x v="1"/>
    <x v="1"/>
    <x v="0"/>
    <x v="1"/>
  </r>
  <r>
    <n v="3"/>
    <x v="1"/>
    <x v="1"/>
    <x v="2"/>
    <x v="0"/>
    <x v="2"/>
  </r>
  <r>
    <n v="4"/>
    <x v="2"/>
    <x v="2"/>
    <x v="3"/>
    <x v="1"/>
    <x v="3"/>
  </r>
  <r>
    <n v="5"/>
    <x v="0"/>
    <x v="1"/>
    <x v="4"/>
    <x v="0"/>
    <x v="4"/>
  </r>
  <r>
    <n v="6"/>
    <x v="3"/>
    <x v="2"/>
    <x v="5"/>
    <x v="2"/>
    <x v="5"/>
  </r>
  <r>
    <n v="7"/>
    <x v="4"/>
    <x v="1"/>
    <x v="3"/>
    <x v="1"/>
    <x v="6"/>
  </r>
  <r>
    <n v="8"/>
    <x v="5"/>
    <x v="2"/>
    <x v="6"/>
    <x v="2"/>
    <x v="7"/>
  </r>
  <r>
    <n v="9"/>
    <x v="0"/>
    <x v="2"/>
    <x v="7"/>
    <x v="3"/>
    <x v="8"/>
  </r>
  <r>
    <n v="10"/>
    <x v="2"/>
    <x v="1"/>
    <x v="8"/>
    <x v="4"/>
    <x v="9"/>
  </r>
  <r>
    <n v="11"/>
    <x v="3"/>
    <x v="0"/>
    <x v="9"/>
    <x v="2"/>
    <x v="10"/>
  </r>
  <r>
    <n v="12"/>
    <x v="4"/>
    <x v="2"/>
    <x v="10"/>
    <x v="5"/>
    <x v="11"/>
  </r>
  <r>
    <n v="13"/>
    <x v="4"/>
    <x v="0"/>
    <x v="11"/>
    <x v="4"/>
    <x v="12"/>
  </r>
  <r>
    <n v="14"/>
    <x v="1"/>
    <x v="2"/>
    <x v="12"/>
    <x v="6"/>
    <x v="13"/>
  </r>
  <r>
    <n v="15"/>
    <x v="5"/>
    <x v="1"/>
    <x v="13"/>
    <x v="3"/>
    <x v="14"/>
  </r>
  <r>
    <n v="16"/>
    <x v="6"/>
    <x v="1"/>
    <x v="14"/>
    <x v="0"/>
    <x v="15"/>
  </r>
  <r>
    <n v="17"/>
    <x v="6"/>
    <x v="1"/>
    <x v="15"/>
    <x v="4"/>
    <x v="16"/>
  </r>
  <r>
    <n v="18"/>
    <x v="1"/>
    <x v="1"/>
    <x v="16"/>
    <x v="4"/>
    <x v="17"/>
  </r>
  <r>
    <n v="19"/>
    <x v="5"/>
    <x v="0"/>
    <x v="17"/>
    <x v="0"/>
    <x v="18"/>
  </r>
  <r>
    <n v="20"/>
    <x v="0"/>
    <x v="1"/>
    <x v="18"/>
    <x v="5"/>
    <x v="19"/>
  </r>
  <r>
    <n v="21"/>
    <x v="3"/>
    <x v="2"/>
    <x v="19"/>
    <x v="5"/>
    <x v="20"/>
  </r>
  <r>
    <n v="22"/>
    <x v="2"/>
    <x v="1"/>
    <x v="20"/>
    <x v="2"/>
    <x v="21"/>
  </r>
  <r>
    <n v="23"/>
    <x v="4"/>
    <x v="1"/>
    <x v="21"/>
    <x v="3"/>
    <x v="22"/>
  </r>
  <r>
    <n v="24"/>
    <x v="2"/>
    <x v="2"/>
    <x v="21"/>
    <x v="1"/>
    <x v="23"/>
  </r>
  <r>
    <n v="25"/>
    <x v="5"/>
    <x v="2"/>
    <x v="14"/>
    <x v="3"/>
    <x v="24"/>
  </r>
  <r>
    <n v="26"/>
    <x v="0"/>
    <x v="1"/>
    <x v="22"/>
    <x v="1"/>
    <x v="25"/>
  </r>
  <r>
    <n v="27"/>
    <x v="3"/>
    <x v="1"/>
    <x v="23"/>
    <x v="5"/>
    <x v="26"/>
  </r>
  <r>
    <n v="28"/>
    <x v="3"/>
    <x v="2"/>
    <x v="24"/>
    <x v="0"/>
    <x v="27"/>
  </r>
  <r>
    <n v="29"/>
    <x v="5"/>
    <x v="2"/>
    <x v="25"/>
    <x v="6"/>
    <x v="28"/>
  </r>
  <r>
    <n v="30"/>
    <x v="1"/>
    <x v="0"/>
    <x v="26"/>
    <x v="7"/>
    <x v="29"/>
  </r>
  <r>
    <n v="31"/>
    <x v="6"/>
    <x v="1"/>
    <x v="27"/>
    <x v="1"/>
    <x v="30"/>
  </r>
  <r>
    <n v="32"/>
    <x v="5"/>
    <x v="2"/>
    <x v="28"/>
    <x v="8"/>
    <x v="31"/>
  </r>
  <r>
    <n v="33"/>
    <x v="4"/>
    <x v="1"/>
    <x v="26"/>
    <x v="0"/>
    <x v="32"/>
  </r>
  <r>
    <n v="34"/>
    <x v="5"/>
    <x v="1"/>
    <x v="29"/>
    <x v="3"/>
    <x v="33"/>
  </r>
  <r>
    <n v="35"/>
    <x v="2"/>
    <x v="1"/>
    <x v="30"/>
    <x v="5"/>
    <x v="34"/>
  </r>
  <r>
    <n v="36"/>
    <x v="1"/>
    <x v="2"/>
    <x v="31"/>
    <x v="5"/>
    <x v="35"/>
  </r>
  <r>
    <n v="37"/>
    <x v="6"/>
    <x v="2"/>
    <x v="32"/>
    <x v="0"/>
    <x v="36"/>
  </r>
  <r>
    <n v="38"/>
    <x v="3"/>
    <x v="1"/>
    <x v="4"/>
    <x v="0"/>
    <x v="37"/>
  </r>
  <r>
    <n v="39"/>
    <x v="2"/>
    <x v="1"/>
    <x v="33"/>
    <x v="1"/>
    <x v="38"/>
  </r>
  <r>
    <n v="40"/>
    <x v="0"/>
    <x v="1"/>
    <x v="34"/>
    <x v="5"/>
    <x v="39"/>
  </r>
  <r>
    <n v="41"/>
    <x v="2"/>
    <x v="0"/>
    <x v="35"/>
    <x v="0"/>
    <x v="40"/>
  </r>
  <r>
    <n v="42"/>
    <x v="3"/>
    <x v="1"/>
    <x v="36"/>
    <x v="4"/>
    <x v="41"/>
  </r>
  <r>
    <n v="43"/>
    <x v="5"/>
    <x v="2"/>
    <x v="37"/>
    <x v="0"/>
    <x v="42"/>
  </r>
  <r>
    <n v="44"/>
    <x v="1"/>
    <x v="1"/>
    <x v="9"/>
    <x v="4"/>
    <x v="43"/>
  </r>
  <r>
    <n v="45"/>
    <x v="1"/>
    <x v="1"/>
    <x v="38"/>
    <x v="2"/>
    <x v="44"/>
  </r>
  <r>
    <n v="46"/>
    <x v="5"/>
    <x v="2"/>
    <x v="39"/>
    <x v="0"/>
    <x v="45"/>
  </r>
  <r>
    <n v="47"/>
    <x v="6"/>
    <x v="1"/>
    <x v="40"/>
    <x v="1"/>
    <x v="46"/>
  </r>
  <r>
    <n v="48"/>
    <x v="5"/>
    <x v="1"/>
    <x v="41"/>
    <x v="5"/>
    <x v="47"/>
  </r>
  <r>
    <n v="49"/>
    <x v="1"/>
    <x v="0"/>
    <x v="42"/>
    <x v="2"/>
    <x v="48"/>
  </r>
  <r>
    <n v="50"/>
    <x v="5"/>
    <x v="1"/>
    <x v="43"/>
    <x v="3"/>
    <x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7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H19:I26" firstHeaderRow="1" firstDataRow="1" firstDataCol="1"/>
  <pivotFields count="6">
    <pivotField showAll="0"/>
    <pivotField showAll="0"/>
    <pivotField showAll="0"/>
    <pivotField axis="axisRow" dataField="1" numFmtId="16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numFmtId="2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7"/>
    </i>
    <i t="grand">
      <x/>
    </i>
  </rowItems>
  <colItems count="1">
    <i/>
  </colItems>
  <dataFields count="1">
    <dataField name="Count of Time (min)" fld="3" subtotal="count" baseField="3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labelOnly="1" fieldPosition="0">
        <references count="1">
          <reference field="3" count="6">
            <x v="1"/>
            <x v="2"/>
            <x v="3"/>
            <x v="4"/>
            <x v="5"/>
            <x v="7"/>
          </reference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4">
      <pivotArea field="3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Y9:Z13" firstHeaderRow="1" firstDataRow="1" firstDataCol="1"/>
  <pivotFields count="6"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showAll="0"/>
    <pivotField dataField="1" numFmtId="2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 Spent ($)" fld="5" baseField="2" baseItem="0" numFmtId="4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outline="0" axis="axisValues" fieldPosition="0"/>
    </format>
    <format dxfId="19">
      <pivotArea dataOnly="0" labelOnly="1" fieldPosition="0">
        <references count="1">
          <reference field="2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field="2" type="button" dataOnly="0" labelOnly="1" outline="0" axis="axisRow" fieldPosition="0"/>
    </format>
    <format dxfId="15">
      <pivotArea dataOnly="0" labelOnly="1" outline="0" axis="axisValues" fieldPosition="0"/>
    </format>
    <format dxfId="14">
      <pivotArea dataOnly="0" labelOnly="1" outline="0" axis="axisValues" fieldPosition="0"/>
    </format>
    <format dxfId="13">
      <pivotArea dataOnly="0" grandRow="1" fieldPosition="0"/>
    </format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H59:I73" firstHeaderRow="1" firstDataRow="1" firstDataCol="1"/>
  <pivotFields count="6">
    <pivotField showAll="0"/>
    <pivotField showAll="0"/>
    <pivotField showAll="0"/>
    <pivotField numFmtId="164" showAll="0"/>
    <pivotField showAll="0"/>
    <pivotField axis="axisRow" dataField="1" numFmtId="2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 count="1">
    <field x="5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5"/>
    </i>
    <i t="grand">
      <x/>
    </i>
  </rowItems>
  <colItems count="1">
    <i/>
  </colItems>
  <dataFields count="1">
    <dataField name="Count of Amount Spent ($)" fld="5" subtotal="count" baseField="5" baseItem="0"/>
  </dataFields>
  <formats count="19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5" type="button" dataOnly="0" labelOnly="1" outline="0" axis="axisRow" fieldPosition="0"/>
    </format>
    <format dxfId="39">
      <pivotArea dataOnly="0" labelOnly="1" outline="0" axis="axisValues" fieldPosition="0"/>
    </format>
    <format dxfId="38">
      <pivotArea dataOnly="0" labelOnly="1" fieldPosition="0">
        <references count="1">
          <reference field="5" count="13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5"/>
          </reference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5" type="button" dataOnly="0" labelOnly="1" outline="0" axis="axisRow" fieldPosition="0"/>
    </format>
    <format dxfId="32">
      <pivotArea dataOnly="0" labelOnly="1" outline="0" axis="axisValues" fieldPosition="0"/>
    </format>
    <format dxfId="31">
      <pivotArea dataOnly="0" labelOnly="1" fieldPosition="0">
        <references count="1">
          <reference field="5" count="13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5"/>
          </reference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28">
      <pivotArea field="5" type="button" dataOnly="0" labelOnly="1" outline="0" axis="axisRow" fieldPosition="0"/>
    </format>
    <format dxfId="27">
      <pivotArea dataOnly="0" labelOnly="1" outline="0" axis="axisValues" fieldPosition="0"/>
    </format>
    <format dxfId="26">
      <pivotArea dataOnly="0" labelOnly="1" outline="0" axis="axisValues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Y2:Z6" firstHeaderRow="1" firstDataRow="1" firstDataCol="1"/>
  <pivotFields count="6"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numFmtId="164" showAll="0"/>
    <pivotField showAll="0"/>
    <pivotField numFmtId="2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yment" fld="2" subtotal="count" baseField="0" baseItem="0"/>
  </dataFields>
  <formats count="12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2" type="button" dataOnly="0" labelOnly="1" outline="0" axis="axisRow" fieldPosition="0"/>
    </format>
    <format dxfId="51">
      <pivotArea dataOnly="0" labelOnly="1" outline="0" axis="axisValues" fieldPosition="0"/>
    </format>
    <format dxfId="50">
      <pivotArea dataOnly="0" labelOnly="1" fieldPosition="0">
        <references count="1">
          <reference field="2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field="2" type="button" dataOnly="0" labelOnly="1" outline="0" axis="axisRow" fieldPosition="0"/>
    </format>
    <format dxfId="46">
      <pivotArea dataOnly="0" labelOnly="1" outline="0" axis="axisValues" fieldPosition="0"/>
    </format>
    <format dxfId="45">
      <pivotArea dataOnly="0" labelOnly="1" outline="0" axis="axisValues" fieldPosition="0"/>
    </format>
    <format dxfId="44">
      <pivotArea grandRow="1" outline="0" collapsedLevelsAreSubtotals="1" fieldPosition="0"/>
    </format>
    <format dxfId="4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U24:V32" firstHeaderRow="1" firstDataRow="1" firstDataCol="1"/>
  <pivotFields count="6">
    <pivotField showAll="0"/>
    <pivotField axis="axisRow" showAll="0">
      <items count="8">
        <item x="4"/>
        <item x="1"/>
        <item x="2"/>
        <item x="0"/>
        <item x="6"/>
        <item x="5"/>
        <item x="3"/>
        <item t="default"/>
      </items>
    </pivotField>
    <pivotField showAll="0"/>
    <pivotField numFmtId="164" showAll="0"/>
    <pivotField showAll="0"/>
    <pivotField dataField="1" numFmtId="2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mount Spent ($)" fld="5" subtotal="average" baseField="1" baseItem="0" numFmtId="2"/>
  </dataFields>
  <formats count="13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1" type="button" dataOnly="0" labelOnly="1" outline="0" axis="axisRow" fieldPosition="0"/>
    </format>
    <format dxfId="64">
      <pivotArea dataOnly="0" labelOnly="1" outline="0" axis="axisValues" fieldPosition="0"/>
    </format>
    <format dxfId="63">
      <pivotArea dataOnly="0" labelOnly="1" fieldPosition="0">
        <references count="1">
          <reference field="1" count="0"/>
        </references>
      </pivotArea>
    </format>
    <format dxfId="62">
      <pivotArea dataOnly="0" labelOnly="1" grandRow="1" outline="0" fieldPosition="0"/>
    </format>
    <format dxfId="61">
      <pivotArea dataOnly="0" labelOnly="1" outline="0" axis="axisValues" fieldPosition="0"/>
    </format>
    <format dxfId="60">
      <pivotArea field="1" type="button" dataOnly="0" labelOnly="1" outline="0" axis="axisRow" fieldPosition="0"/>
    </format>
    <format dxfId="59">
      <pivotArea dataOnly="0" labelOnly="1" outline="0" axis="axisValues" fieldPosition="0"/>
    </format>
    <format dxfId="58">
      <pivotArea dataOnly="0" labelOnly="1" outline="0" axis="axisValues" fieldPosition="0"/>
    </format>
    <format dxfId="57">
      <pivotArea grandRow="1" outline="0" collapsedLevelsAreSubtotals="1" fieldPosition="0"/>
    </format>
    <format dxfId="56">
      <pivotArea dataOnly="0" labelOnly="1" grandRow="1" outline="0" fieldPosition="0"/>
    </format>
    <format dxfId="5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U13:V21" firstHeaderRow="1" firstDataRow="1" firstDataCol="1"/>
  <pivotFields count="6">
    <pivotField showAll="0"/>
    <pivotField axis="axisRow" showAll="0">
      <items count="8">
        <item x="4"/>
        <item x="1"/>
        <item x="2"/>
        <item x="0"/>
        <item x="6"/>
        <item x="5"/>
        <item x="3"/>
        <item t="default"/>
      </items>
    </pivotField>
    <pivotField showAll="0"/>
    <pivotField numFmtId="164" showAll="0"/>
    <pivotField showAll="0"/>
    <pivotField dataField="1" numFmtId="2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 Spent ($)" fld="5" baseField="1" baseItem="0" numFmtId="4"/>
  </dataFields>
  <formats count="13"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1" type="button" dataOnly="0" labelOnly="1" outline="0" axis="axisRow" fieldPosition="0"/>
    </format>
    <format dxfId="77">
      <pivotArea dataOnly="0" labelOnly="1" outline="0" axis="axisValues" fieldPosition="0"/>
    </format>
    <format dxfId="76">
      <pivotArea dataOnly="0" labelOnly="1" fieldPosition="0">
        <references count="1">
          <reference field="1" count="0"/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  <format dxfId="73">
      <pivotArea field="1" type="button" dataOnly="0" labelOnly="1" outline="0" axis="axisRow" fieldPosition="0"/>
    </format>
    <format dxfId="72">
      <pivotArea dataOnly="0" labelOnly="1" outline="0" axis="axisValues" fieldPosition="0"/>
    </format>
    <format dxfId="71">
      <pivotArea dataOnly="0" labelOnly="1" outline="0" axis="axisValues" fieldPosition="0"/>
    </format>
    <format dxfId="70">
      <pivotArea grandRow="1" outline="0" collapsedLevelsAreSubtotals="1" fieldPosition="0"/>
    </format>
    <format dxfId="69">
      <pivotArea dataOnly="0" labelOnly="1" grandRow="1" outline="0" fieldPosition="0"/>
    </format>
    <format dxfId="6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U2:V10" firstHeaderRow="1" firstDataRow="1" firstDataCol="1"/>
  <pivotFields count="6">
    <pivotField showAll="0"/>
    <pivotField axis="axisRow" dataField="1" showAll="0">
      <items count="8">
        <item x="4"/>
        <item x="1"/>
        <item x="2"/>
        <item x="0"/>
        <item x="6"/>
        <item x="5"/>
        <item x="3"/>
        <item t="default"/>
      </items>
    </pivotField>
    <pivotField showAll="0"/>
    <pivotField numFmtId="164" showAll="0"/>
    <pivotField showAll="0"/>
    <pivotField numFmtId="2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ay" fld="1" subtotal="count" baseField="0" baseItem="0"/>
  </dataFields>
  <formats count="12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1" type="button" dataOnly="0" labelOnly="1" outline="0" axis="axisRow" fieldPosition="0"/>
    </format>
    <format dxfId="89">
      <pivotArea dataOnly="0" labelOnly="1" outline="0" axis="axisValues" fieldPosition="0"/>
    </format>
    <format dxfId="88">
      <pivotArea dataOnly="0" labelOnly="1" fieldPosition="0">
        <references count="1">
          <reference field="1" count="0"/>
        </references>
      </pivotArea>
    </format>
    <format dxfId="87">
      <pivotArea dataOnly="0" labelOnly="1" grandRow="1" outline="0" fieldPosition="0"/>
    </format>
    <format dxfId="86">
      <pivotArea dataOnly="0" labelOnly="1" outline="0" axis="axisValues" fieldPosition="0"/>
    </format>
    <format dxfId="85">
      <pivotArea field="1" type="button" dataOnly="0" labelOnly="1" outline="0" axis="axisRow" fieldPosition="0"/>
    </format>
    <format dxfId="84">
      <pivotArea dataOnly="0" labelOnly="1" outline="0" axis="axisValues" fieldPosition="0"/>
    </format>
    <format dxfId="83">
      <pivotArea dataOnly="0" labelOnly="1" outline="0" axis="axisValues" fieldPosition="0"/>
    </format>
    <format dxfId="82">
      <pivotArea grandRow="1" outline="0" collapsedLevelsAreSubtotals="1" fieldPosition="0"/>
    </format>
    <format dxfId="8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Y16:Z20" firstHeaderRow="1" firstDataRow="1" firstDataCol="1"/>
  <pivotFields count="6"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showAll="0"/>
    <pivotField dataField="1" numFmtId="2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mount Spent ($)" fld="5" subtotal="average" baseField="2" baseItem="0" numFmtId="2"/>
  </dataFields>
  <formats count="12"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2" type="button" dataOnly="0" labelOnly="1" outline="0" axis="axisRow" fieldPosition="0"/>
    </format>
    <format dxfId="101">
      <pivotArea dataOnly="0" labelOnly="1" outline="0" axis="axisValues" fieldPosition="0"/>
    </format>
    <format dxfId="100">
      <pivotArea dataOnly="0" labelOnly="1" fieldPosition="0">
        <references count="1">
          <reference field="2" count="0"/>
        </references>
      </pivotArea>
    </format>
    <format dxfId="99">
      <pivotArea dataOnly="0" labelOnly="1" grandRow="1" outline="0" fieldPosition="0"/>
    </format>
    <format dxfId="98">
      <pivotArea dataOnly="0" labelOnly="1" outline="0" axis="axisValues" fieldPosition="0"/>
    </format>
    <format dxfId="97">
      <pivotArea field="2" type="button" dataOnly="0" labelOnly="1" outline="0" axis="axisRow" fieldPosition="0"/>
    </format>
    <format dxfId="96">
      <pivotArea dataOnly="0" labelOnly="1" outline="0" axis="axisValues" fieldPosition="0"/>
    </format>
    <format dxfId="95">
      <pivotArea dataOnly="0" labelOnly="1" outline="0" axis="axisValues" fieldPosition="0"/>
    </format>
    <format dxfId="94">
      <pivotArea dataOnly="0" grandRow="1" fieldPosition="0"/>
    </format>
    <format dxfId="9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8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H39:I44" firstHeaderRow="1" firstDataRow="1" firstDataCol="1"/>
  <pivotFields count="6">
    <pivotField showAll="0"/>
    <pivotField showAll="0"/>
    <pivotField showAll="0"/>
    <pivotField numFmtId="164" showAll="0"/>
    <pivotField axis="axisRow" dataField="1" showAll="0">
      <items count="7">
        <item x="0"/>
        <item x="1"/>
        <item x="2"/>
        <item x="3"/>
        <item x="4"/>
        <item x="5"/>
        <item t="default"/>
      </items>
    </pivotField>
    <pivotField numFmtId="2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 count="1">
    <field x="4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ges Viewed" fld="4" subtotal="count" baseField="4" baseItem="0"/>
  </dataFields>
  <formats count="11"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4" type="button" dataOnly="0" labelOnly="1" outline="0" axis="axisRow" fieldPosition="0"/>
    </format>
    <format dxfId="112">
      <pivotArea dataOnly="0" labelOnly="1" outline="0" axis="axisValues" fieldPosition="0"/>
    </format>
    <format dxfId="111">
      <pivotArea dataOnly="0" labelOnly="1" fieldPosition="0">
        <references count="1">
          <reference field="4" count="4">
            <x v="1"/>
            <x v="2"/>
            <x v="3"/>
            <x v="4"/>
          </reference>
        </references>
      </pivotArea>
    </format>
    <format dxfId="110">
      <pivotArea dataOnly="0" labelOnly="1" grandRow="1" outline="0" fieldPosition="0"/>
    </format>
    <format dxfId="109">
      <pivotArea dataOnly="0" labelOnly="1" outline="0" axis="axisValues" fieldPosition="0"/>
    </format>
    <format dxfId="108">
      <pivotArea field="4" type="button" dataOnly="0" labelOnly="1" outline="0" axis="axisRow" fieldPosition="0"/>
    </format>
    <format dxfId="107">
      <pivotArea dataOnly="0" labelOnly="1" outline="0" axis="axisValues" fieldPosition="0"/>
    </format>
    <format dxfId="106">
      <pivotArea dataOnly="0" labelOnly="1" outline="0" axis="axisValues" fieldPosition="0"/>
    </format>
    <format dxfId="105">
      <pivotArea dataOnly="0" grandRow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3"/>
  <sheetViews>
    <sheetView tabSelected="1" zoomScale="85" zoomScaleNormal="85" workbookViewId="0">
      <selection activeCell="E14" sqref="E14"/>
    </sheetView>
  </sheetViews>
  <sheetFormatPr defaultColWidth="8.8125" defaultRowHeight="15.4" x14ac:dyDescent="0.45"/>
  <cols>
    <col min="1" max="1" width="9.5" style="25" customWidth="1"/>
    <col min="2" max="2" width="9" style="25"/>
    <col min="3" max="3" width="14.6875" style="21" customWidth="1"/>
    <col min="4" max="4" width="11.3125" style="25" customWidth="1"/>
    <col min="5" max="5" width="13.5" style="25" customWidth="1"/>
    <col min="6" max="6" width="15.8125" style="25" customWidth="1"/>
    <col min="7" max="7" width="8.8125" style="21"/>
    <col min="8" max="8" width="16.3125" style="21" bestFit="1" customWidth="1"/>
    <col min="9" max="9" width="24.3125" style="21" bestFit="1" customWidth="1"/>
    <col min="10" max="10" width="16.3125" style="21" bestFit="1" customWidth="1"/>
    <col min="11" max="11" width="11.875" style="21" bestFit="1" customWidth="1"/>
    <col min="12" max="12" width="16.5" style="21" bestFit="1" customWidth="1"/>
    <col min="13" max="13" width="11.875" style="21" bestFit="1" customWidth="1"/>
    <col min="14" max="20" width="8.8125" style="21"/>
    <col min="21" max="21" width="13.8125" style="21" bestFit="1" customWidth="1"/>
    <col min="22" max="22" width="27.375" style="21" customWidth="1"/>
    <col min="23" max="24" width="8.8125" style="21"/>
    <col min="25" max="25" width="13.8125" style="21" bestFit="1" customWidth="1"/>
    <col min="26" max="26" width="27.375" style="21" customWidth="1"/>
    <col min="27" max="28" width="8.8125" style="21"/>
    <col min="29" max="29" width="19.1875" style="21" bestFit="1" customWidth="1"/>
    <col min="30" max="39" width="8.8125" style="21"/>
    <col min="40" max="40" width="19.1875" style="21" bestFit="1" customWidth="1"/>
    <col min="41" max="16384" width="8.8125" style="21"/>
  </cols>
  <sheetData>
    <row r="1" spans="1:41" ht="15.75" thickBot="1" x14ac:dyDescent="0.5">
      <c r="A1" s="1" t="s">
        <v>0</v>
      </c>
      <c r="B1" s="2" t="s">
        <v>1</v>
      </c>
      <c r="C1" s="3" t="s">
        <v>15</v>
      </c>
      <c r="D1" s="4" t="s">
        <v>2</v>
      </c>
      <c r="E1" s="2" t="s">
        <v>3</v>
      </c>
      <c r="F1" s="5" t="s">
        <v>4</v>
      </c>
    </row>
    <row r="2" spans="1:41" x14ac:dyDescent="0.45">
      <c r="A2" s="6">
        <v>1</v>
      </c>
      <c r="B2" s="7" t="s">
        <v>6</v>
      </c>
      <c r="C2" s="8" t="s">
        <v>12</v>
      </c>
      <c r="D2" s="9">
        <v>17.5</v>
      </c>
      <c r="E2" s="7">
        <v>4</v>
      </c>
      <c r="F2" s="10">
        <v>109</v>
      </c>
      <c r="H2" s="29" t="s">
        <v>2</v>
      </c>
      <c r="I2" s="29"/>
      <c r="J2" s="29" t="s">
        <v>3</v>
      </c>
      <c r="K2" s="29"/>
      <c r="L2" s="29" t="s">
        <v>4</v>
      </c>
      <c r="M2" s="29"/>
      <c r="U2" s="26" t="s">
        <v>35</v>
      </c>
      <c r="V2" s="26" t="s">
        <v>58</v>
      </c>
      <c r="Y2" s="26" t="s">
        <v>35</v>
      </c>
      <c r="Z2" s="26" t="s">
        <v>60</v>
      </c>
      <c r="AC2" s="21" t="s">
        <v>61</v>
      </c>
      <c r="AD2" s="36">
        <f>CORREL(D2:D51,F2:F51)</f>
        <v>0.57979042661043034</v>
      </c>
      <c r="AN2" s="21" t="s">
        <v>61</v>
      </c>
      <c r="AO2" s="36">
        <f>CORREL(E2:E51,F2:F51)</f>
        <v>0.6986229866382484</v>
      </c>
    </row>
    <row r="3" spans="1:41" x14ac:dyDescent="0.45">
      <c r="A3" s="11">
        <v>2</v>
      </c>
      <c r="B3" s="12" t="s">
        <v>5</v>
      </c>
      <c r="C3" s="20" t="s">
        <v>13</v>
      </c>
      <c r="D3" s="13">
        <v>12</v>
      </c>
      <c r="E3" s="12">
        <v>4</v>
      </c>
      <c r="F3" s="14">
        <v>54.519999999999996</v>
      </c>
      <c r="H3" s="30"/>
      <c r="I3" s="30"/>
      <c r="J3" s="30"/>
      <c r="K3" s="30"/>
      <c r="L3" s="30"/>
      <c r="M3" s="30"/>
      <c r="U3" s="22" t="s">
        <v>9</v>
      </c>
      <c r="V3" s="21">
        <v>5</v>
      </c>
      <c r="Y3" s="22" t="s">
        <v>12</v>
      </c>
      <c r="Z3" s="21">
        <v>7</v>
      </c>
    </row>
    <row r="4" spans="1:41" x14ac:dyDescent="0.45">
      <c r="A4" s="11">
        <v>3</v>
      </c>
      <c r="B4" s="12" t="s">
        <v>5</v>
      </c>
      <c r="C4" s="20" t="s">
        <v>13</v>
      </c>
      <c r="D4" s="13">
        <v>8.5</v>
      </c>
      <c r="E4" s="12">
        <v>4</v>
      </c>
      <c r="F4" s="14">
        <v>26.68</v>
      </c>
      <c r="H4" s="30" t="s">
        <v>16</v>
      </c>
      <c r="I4" s="31">
        <v>12.770000000000003</v>
      </c>
      <c r="J4" s="30" t="s">
        <v>16</v>
      </c>
      <c r="K4" s="31">
        <v>4.78</v>
      </c>
      <c r="L4" s="30" t="s">
        <v>16</v>
      </c>
      <c r="M4" s="31">
        <v>68.410200000000017</v>
      </c>
      <c r="U4" s="22" t="s">
        <v>5</v>
      </c>
      <c r="V4" s="21">
        <v>9</v>
      </c>
      <c r="Y4" s="22" t="s">
        <v>13</v>
      </c>
      <c r="Z4" s="21">
        <v>27</v>
      </c>
    </row>
    <row r="5" spans="1:41" x14ac:dyDescent="0.45">
      <c r="A5" s="11">
        <v>4</v>
      </c>
      <c r="B5" s="12" t="s">
        <v>7</v>
      </c>
      <c r="C5" s="20" t="s">
        <v>14</v>
      </c>
      <c r="D5" s="13">
        <v>11.4</v>
      </c>
      <c r="E5" s="12">
        <v>2</v>
      </c>
      <c r="F5" s="14">
        <v>44.730000000000004</v>
      </c>
      <c r="H5" s="30" t="s">
        <v>17</v>
      </c>
      <c r="I5" s="31">
        <v>0.85202879131194187</v>
      </c>
      <c r="J5" s="30" t="s">
        <v>17</v>
      </c>
      <c r="K5" s="31">
        <v>0.28755123767028767</v>
      </c>
      <c r="L5" s="30" t="s">
        <v>17</v>
      </c>
      <c r="M5" s="31">
        <v>4.6162805726812417</v>
      </c>
      <c r="U5" s="22" t="s">
        <v>7</v>
      </c>
      <c r="V5" s="21">
        <v>7</v>
      </c>
      <c r="Y5" s="22" t="s">
        <v>14</v>
      </c>
      <c r="Z5" s="21">
        <v>16</v>
      </c>
    </row>
    <row r="6" spans="1:41" x14ac:dyDescent="0.45">
      <c r="A6" s="11">
        <v>5</v>
      </c>
      <c r="B6" s="12" t="s">
        <v>6</v>
      </c>
      <c r="C6" s="20" t="s">
        <v>13</v>
      </c>
      <c r="D6" s="13">
        <v>11.3</v>
      </c>
      <c r="E6" s="12">
        <v>4</v>
      </c>
      <c r="F6" s="14">
        <v>66.27</v>
      </c>
      <c r="H6" s="30" t="s">
        <v>18</v>
      </c>
      <c r="I6" s="31">
        <v>11.4</v>
      </c>
      <c r="J6" s="30" t="s">
        <v>18</v>
      </c>
      <c r="K6" s="31">
        <v>4</v>
      </c>
      <c r="L6" s="30" t="s">
        <v>18</v>
      </c>
      <c r="M6" s="31">
        <v>62.15</v>
      </c>
      <c r="U6" s="22" t="s">
        <v>6</v>
      </c>
      <c r="V6" s="21">
        <v>6</v>
      </c>
      <c r="Y6" s="28" t="s">
        <v>36</v>
      </c>
      <c r="Z6" s="26">
        <v>50</v>
      </c>
    </row>
    <row r="7" spans="1:41" x14ac:dyDescent="0.45">
      <c r="A7" s="11">
        <v>6</v>
      </c>
      <c r="B7" s="12" t="s">
        <v>8</v>
      </c>
      <c r="C7" s="20" t="s">
        <v>14</v>
      </c>
      <c r="D7" s="13">
        <v>10.5</v>
      </c>
      <c r="E7" s="12">
        <v>6</v>
      </c>
      <c r="F7" s="14">
        <v>67.8</v>
      </c>
      <c r="H7" s="30" t="s">
        <v>19</v>
      </c>
      <c r="I7" s="31">
        <v>11.4</v>
      </c>
      <c r="J7" s="30" t="s">
        <v>19</v>
      </c>
      <c r="K7" s="31">
        <v>4</v>
      </c>
      <c r="L7" s="30" t="s">
        <v>19</v>
      </c>
      <c r="M7" s="31" t="e">
        <v>#N/A</v>
      </c>
      <c r="U7" s="22" t="s">
        <v>11</v>
      </c>
      <c r="V7" s="21">
        <v>5</v>
      </c>
    </row>
    <row r="8" spans="1:41" x14ac:dyDescent="0.45">
      <c r="A8" s="11">
        <v>7</v>
      </c>
      <c r="B8" s="12" t="s">
        <v>9</v>
      </c>
      <c r="C8" s="20" t="s">
        <v>13</v>
      </c>
      <c r="D8" s="13">
        <v>11.4</v>
      </c>
      <c r="E8" s="12">
        <v>2</v>
      </c>
      <c r="F8" s="14">
        <v>36.04</v>
      </c>
      <c r="H8" s="30" t="s">
        <v>20</v>
      </c>
      <c r="I8" s="31">
        <v>6.0247533610285187</v>
      </c>
      <c r="J8" s="30" t="s">
        <v>20</v>
      </c>
      <c r="K8" s="31">
        <v>2.0332943009524502</v>
      </c>
      <c r="L8" s="30" t="s">
        <v>20</v>
      </c>
      <c r="M8" s="31">
        <v>32.64203296802625</v>
      </c>
      <c r="U8" s="22" t="s">
        <v>10</v>
      </c>
      <c r="V8" s="21">
        <v>11</v>
      </c>
    </row>
    <row r="9" spans="1:41" x14ac:dyDescent="0.45">
      <c r="A9" s="11">
        <v>8</v>
      </c>
      <c r="B9" s="12" t="s">
        <v>10</v>
      </c>
      <c r="C9" s="20" t="s">
        <v>14</v>
      </c>
      <c r="D9" s="13">
        <v>4.3</v>
      </c>
      <c r="E9" s="12">
        <v>6</v>
      </c>
      <c r="F9" s="14">
        <v>55.960000000000008</v>
      </c>
      <c r="H9" s="30" t="s">
        <v>21</v>
      </c>
      <c r="I9" s="31">
        <v>36.297653061224437</v>
      </c>
      <c r="J9" s="30" t="s">
        <v>21</v>
      </c>
      <c r="K9" s="31">
        <v>4.1342857142857126</v>
      </c>
      <c r="L9" s="30" t="s">
        <v>21</v>
      </c>
      <c r="M9" s="31">
        <v>1065.5023162857124</v>
      </c>
      <c r="U9" s="22" t="s">
        <v>8</v>
      </c>
      <c r="V9" s="21">
        <v>7</v>
      </c>
      <c r="Y9" s="26" t="s">
        <v>35</v>
      </c>
      <c r="Z9" s="26" t="s">
        <v>43</v>
      </c>
    </row>
    <row r="10" spans="1:41" x14ac:dyDescent="0.45">
      <c r="A10" s="11">
        <v>9</v>
      </c>
      <c r="B10" s="12" t="s">
        <v>6</v>
      </c>
      <c r="C10" s="20" t="s">
        <v>14</v>
      </c>
      <c r="D10" s="13">
        <v>12.700000000000001</v>
      </c>
      <c r="E10" s="12">
        <v>3</v>
      </c>
      <c r="F10" s="14">
        <v>70.94</v>
      </c>
      <c r="H10" s="30" t="s">
        <v>22</v>
      </c>
      <c r="I10" s="31">
        <v>2.5644548099587778</v>
      </c>
      <c r="J10" s="30" t="s">
        <v>22</v>
      </c>
      <c r="K10" s="31">
        <v>0.25105573906571799</v>
      </c>
      <c r="L10" s="30" t="s">
        <v>22</v>
      </c>
      <c r="M10" s="31">
        <v>0.73720942661771405</v>
      </c>
      <c r="U10" s="28" t="s">
        <v>36</v>
      </c>
      <c r="V10" s="26">
        <v>50</v>
      </c>
      <c r="Y10" s="22" t="s">
        <v>12</v>
      </c>
      <c r="Z10" s="34">
        <v>535.49</v>
      </c>
    </row>
    <row r="11" spans="1:41" x14ac:dyDescent="0.45">
      <c r="A11" s="11">
        <v>10</v>
      </c>
      <c r="B11" s="12" t="s">
        <v>7</v>
      </c>
      <c r="C11" s="20" t="s">
        <v>13</v>
      </c>
      <c r="D11" s="13">
        <v>24.7</v>
      </c>
      <c r="E11" s="12">
        <v>7</v>
      </c>
      <c r="F11" s="14">
        <v>68.73</v>
      </c>
      <c r="H11" s="30" t="s">
        <v>23</v>
      </c>
      <c r="I11" s="31">
        <v>1.4795185643699218</v>
      </c>
      <c r="J11" s="30" t="s">
        <v>23</v>
      </c>
      <c r="K11" s="31">
        <v>0.70615838564792666</v>
      </c>
      <c r="L11" s="30" t="s">
        <v>23</v>
      </c>
      <c r="M11" s="31">
        <v>1.023555591895408</v>
      </c>
      <c r="Y11" s="22" t="s">
        <v>13</v>
      </c>
      <c r="Z11" s="34">
        <v>1656.8100000000002</v>
      </c>
    </row>
    <row r="12" spans="1:41" x14ac:dyDescent="0.45">
      <c r="A12" s="11">
        <v>11</v>
      </c>
      <c r="B12" s="12" t="s">
        <v>8</v>
      </c>
      <c r="C12" s="20" t="s">
        <v>12</v>
      </c>
      <c r="D12" s="13">
        <v>13.3</v>
      </c>
      <c r="E12" s="12">
        <v>6</v>
      </c>
      <c r="F12" s="14">
        <v>54.040000000000006</v>
      </c>
      <c r="H12" s="30" t="s">
        <v>24</v>
      </c>
      <c r="I12" s="31">
        <v>28.599999999999998</v>
      </c>
      <c r="J12" s="30" t="s">
        <v>24</v>
      </c>
      <c r="K12" s="31">
        <v>8</v>
      </c>
      <c r="L12" s="30" t="s">
        <v>24</v>
      </c>
      <c r="M12" s="31">
        <v>140.66999999999999</v>
      </c>
      <c r="Y12" s="22" t="s">
        <v>14</v>
      </c>
      <c r="Z12" s="34">
        <v>1228.21</v>
      </c>
    </row>
    <row r="13" spans="1:41" x14ac:dyDescent="0.45">
      <c r="A13" s="11">
        <v>12</v>
      </c>
      <c r="B13" s="12" t="s">
        <v>9</v>
      </c>
      <c r="C13" s="20" t="s">
        <v>14</v>
      </c>
      <c r="D13" s="13">
        <v>14.3</v>
      </c>
      <c r="E13" s="12">
        <v>5</v>
      </c>
      <c r="F13" s="14">
        <v>48.05</v>
      </c>
      <c r="H13" s="30" t="s">
        <v>25</v>
      </c>
      <c r="I13" s="31">
        <v>4.3</v>
      </c>
      <c r="J13" s="30" t="s">
        <v>25</v>
      </c>
      <c r="K13" s="31">
        <v>2</v>
      </c>
      <c r="L13" s="30" t="s">
        <v>25</v>
      </c>
      <c r="M13" s="31">
        <v>17.840000000000003</v>
      </c>
      <c r="U13" s="26" t="s">
        <v>35</v>
      </c>
      <c r="V13" s="26" t="s">
        <v>43</v>
      </c>
      <c r="Y13" s="28" t="s">
        <v>36</v>
      </c>
      <c r="Z13" s="35">
        <v>3420.51</v>
      </c>
    </row>
    <row r="14" spans="1:41" x14ac:dyDescent="0.45">
      <c r="A14" s="11">
        <v>13</v>
      </c>
      <c r="B14" s="12" t="s">
        <v>9</v>
      </c>
      <c r="C14" s="20" t="s">
        <v>12</v>
      </c>
      <c r="D14" s="13">
        <v>11.700000000000001</v>
      </c>
      <c r="E14" s="12">
        <v>7</v>
      </c>
      <c r="F14" s="14">
        <v>64.16</v>
      </c>
      <c r="H14" s="30" t="s">
        <v>26</v>
      </c>
      <c r="I14" s="31">
        <v>32.9</v>
      </c>
      <c r="J14" s="30" t="s">
        <v>26</v>
      </c>
      <c r="K14" s="31">
        <v>10</v>
      </c>
      <c r="L14" s="30" t="s">
        <v>26</v>
      </c>
      <c r="M14" s="31">
        <v>158.51</v>
      </c>
      <c r="U14" s="22" t="s">
        <v>9</v>
      </c>
      <c r="V14" s="34">
        <v>218.15000000000003</v>
      </c>
    </row>
    <row r="15" spans="1:41" x14ac:dyDescent="0.45">
      <c r="A15" s="11">
        <v>14</v>
      </c>
      <c r="B15" s="12" t="s">
        <v>5</v>
      </c>
      <c r="C15" s="20" t="s">
        <v>14</v>
      </c>
      <c r="D15" s="13">
        <v>24.400000000000002</v>
      </c>
      <c r="E15" s="12">
        <v>10</v>
      </c>
      <c r="F15" s="14">
        <v>158.51</v>
      </c>
      <c r="H15" s="30" t="s">
        <v>27</v>
      </c>
      <c r="I15" s="31">
        <v>638.50000000000011</v>
      </c>
      <c r="J15" s="30" t="s">
        <v>27</v>
      </c>
      <c r="K15" s="31">
        <v>239</v>
      </c>
      <c r="L15" s="30" t="s">
        <v>27</v>
      </c>
      <c r="M15" s="31">
        <v>3420.5100000000007</v>
      </c>
      <c r="U15" s="22" t="s">
        <v>5</v>
      </c>
      <c r="V15" s="34">
        <v>813.38</v>
      </c>
    </row>
    <row r="16" spans="1:41" ht="15.75" thickBot="1" x14ac:dyDescent="0.5">
      <c r="A16" s="11">
        <v>15</v>
      </c>
      <c r="B16" s="12" t="s">
        <v>10</v>
      </c>
      <c r="C16" s="20" t="s">
        <v>13</v>
      </c>
      <c r="D16" s="13">
        <v>8.4</v>
      </c>
      <c r="E16" s="12">
        <v>3</v>
      </c>
      <c r="F16" s="14">
        <v>84.12</v>
      </c>
      <c r="H16" s="32" t="s">
        <v>28</v>
      </c>
      <c r="I16" s="33">
        <v>50</v>
      </c>
      <c r="J16" s="32" t="s">
        <v>28</v>
      </c>
      <c r="K16" s="33">
        <v>50</v>
      </c>
      <c r="L16" s="32" t="s">
        <v>28</v>
      </c>
      <c r="M16" s="33">
        <v>50</v>
      </c>
      <c r="U16" s="22" t="s">
        <v>7</v>
      </c>
      <c r="V16" s="34">
        <v>414.86</v>
      </c>
      <c r="Y16" s="26" t="s">
        <v>35</v>
      </c>
      <c r="Z16" s="26" t="s">
        <v>59</v>
      </c>
    </row>
    <row r="17" spans="1:26" x14ac:dyDescent="0.45">
      <c r="A17" s="11">
        <v>16</v>
      </c>
      <c r="B17" s="12" t="s">
        <v>11</v>
      </c>
      <c r="C17" s="20" t="s">
        <v>13</v>
      </c>
      <c r="D17" s="13">
        <v>9.6</v>
      </c>
      <c r="E17" s="12">
        <v>4</v>
      </c>
      <c r="F17" s="14">
        <v>59.2</v>
      </c>
      <c r="U17" s="22" t="s">
        <v>6</v>
      </c>
      <c r="V17" s="34">
        <v>355.92</v>
      </c>
      <c r="Y17" s="22" t="s">
        <v>12</v>
      </c>
      <c r="Z17" s="36">
        <v>76.498571428571424</v>
      </c>
    </row>
    <row r="18" spans="1:26" x14ac:dyDescent="0.45">
      <c r="A18" s="11">
        <v>17</v>
      </c>
      <c r="B18" s="12" t="s">
        <v>11</v>
      </c>
      <c r="C18" s="20" t="s">
        <v>13</v>
      </c>
      <c r="D18" s="13">
        <v>23.3</v>
      </c>
      <c r="E18" s="12">
        <v>7</v>
      </c>
      <c r="F18" s="14">
        <v>91.62</v>
      </c>
      <c r="U18" s="22" t="s">
        <v>11</v>
      </c>
      <c r="V18" s="34">
        <v>294.02999999999997</v>
      </c>
      <c r="Y18" s="22" t="s">
        <v>13</v>
      </c>
      <c r="Z18" s="36">
        <v>61.363333333333337</v>
      </c>
    </row>
    <row r="19" spans="1:26" x14ac:dyDescent="0.45">
      <c r="A19" s="11">
        <v>18</v>
      </c>
      <c r="B19" s="12" t="s">
        <v>5</v>
      </c>
      <c r="C19" s="20" t="s">
        <v>13</v>
      </c>
      <c r="D19" s="13">
        <v>14</v>
      </c>
      <c r="E19" s="12">
        <v>7</v>
      </c>
      <c r="F19" s="14">
        <v>126.4</v>
      </c>
      <c r="H19" s="26" t="s">
        <v>35</v>
      </c>
      <c r="I19" s="26" t="s">
        <v>37</v>
      </c>
      <c r="U19" s="22" t="s">
        <v>10</v>
      </c>
      <c r="V19" s="34">
        <v>945.43000000000006</v>
      </c>
      <c r="Y19" s="22" t="s">
        <v>14</v>
      </c>
      <c r="Z19" s="36">
        <v>76.763125000000002</v>
      </c>
    </row>
    <row r="20" spans="1:26" x14ac:dyDescent="0.45">
      <c r="A20" s="11">
        <v>19</v>
      </c>
      <c r="B20" s="12" t="s">
        <v>10</v>
      </c>
      <c r="C20" s="20" t="s">
        <v>12</v>
      </c>
      <c r="D20" s="13">
        <v>5.6000000000000005</v>
      </c>
      <c r="E20" s="12">
        <v>4</v>
      </c>
      <c r="F20" s="14">
        <v>68.45</v>
      </c>
      <c r="H20" s="23" t="s">
        <v>29</v>
      </c>
      <c r="I20" s="21">
        <v>1</v>
      </c>
      <c r="U20" s="22" t="s">
        <v>8</v>
      </c>
      <c r="V20" s="34">
        <v>378.74</v>
      </c>
      <c r="Y20" s="28" t="s">
        <v>36</v>
      </c>
      <c r="Z20" s="37">
        <v>68.410200000000017</v>
      </c>
    </row>
    <row r="21" spans="1:26" x14ac:dyDescent="0.45">
      <c r="A21" s="11">
        <v>20</v>
      </c>
      <c r="B21" s="12" t="s">
        <v>6</v>
      </c>
      <c r="C21" s="20" t="s">
        <v>13</v>
      </c>
      <c r="D21" s="13">
        <v>15.1</v>
      </c>
      <c r="E21" s="12">
        <v>5</v>
      </c>
      <c r="F21" s="14">
        <v>32.69</v>
      </c>
      <c r="H21" s="23" t="s">
        <v>30</v>
      </c>
      <c r="I21" s="21">
        <v>16</v>
      </c>
      <c r="U21" s="28" t="s">
        <v>36</v>
      </c>
      <c r="V21" s="35">
        <v>3420.51</v>
      </c>
    </row>
    <row r="22" spans="1:26" x14ac:dyDescent="0.45">
      <c r="A22" s="11">
        <v>21</v>
      </c>
      <c r="B22" s="12" t="s">
        <v>8</v>
      </c>
      <c r="C22" s="20" t="s">
        <v>14</v>
      </c>
      <c r="D22" s="13">
        <v>16.3</v>
      </c>
      <c r="E22" s="12">
        <v>5</v>
      </c>
      <c r="F22" s="14">
        <v>78.58</v>
      </c>
      <c r="H22" s="23" t="s">
        <v>31</v>
      </c>
      <c r="I22" s="21">
        <v>20</v>
      </c>
    </row>
    <row r="23" spans="1:26" x14ac:dyDescent="0.45">
      <c r="A23" s="11">
        <v>22</v>
      </c>
      <c r="B23" s="12" t="s">
        <v>7</v>
      </c>
      <c r="C23" s="20" t="s">
        <v>13</v>
      </c>
      <c r="D23" s="13">
        <v>10.199999999999999</v>
      </c>
      <c r="E23" s="12">
        <v>6</v>
      </c>
      <c r="F23" s="14">
        <v>74.430000000000007</v>
      </c>
      <c r="H23" s="23" t="s">
        <v>32</v>
      </c>
      <c r="I23" s="21">
        <v>8</v>
      </c>
    </row>
    <row r="24" spans="1:26" x14ac:dyDescent="0.45">
      <c r="A24" s="11">
        <v>23</v>
      </c>
      <c r="B24" s="12" t="s">
        <v>9</v>
      </c>
      <c r="C24" s="20" t="s">
        <v>13</v>
      </c>
      <c r="D24" s="13">
        <v>8</v>
      </c>
      <c r="E24" s="12">
        <v>3</v>
      </c>
      <c r="F24" s="14">
        <v>32.730000000000004</v>
      </c>
      <c r="H24" s="23" t="s">
        <v>33</v>
      </c>
      <c r="I24" s="21">
        <v>3</v>
      </c>
      <c r="U24" s="26" t="s">
        <v>35</v>
      </c>
      <c r="V24" s="26" t="s">
        <v>59</v>
      </c>
    </row>
    <row r="25" spans="1:26" x14ac:dyDescent="0.45">
      <c r="A25" s="11">
        <v>24</v>
      </c>
      <c r="B25" s="12" t="s">
        <v>7</v>
      </c>
      <c r="C25" s="20" t="s">
        <v>14</v>
      </c>
      <c r="D25" s="13">
        <v>8</v>
      </c>
      <c r="E25" s="12">
        <v>2</v>
      </c>
      <c r="F25" s="14">
        <v>48.66</v>
      </c>
      <c r="H25" s="23" t="s">
        <v>34</v>
      </c>
      <c r="I25" s="21">
        <v>2</v>
      </c>
      <c r="U25" s="22" t="s">
        <v>9</v>
      </c>
      <c r="V25" s="36">
        <v>43.63000000000001</v>
      </c>
    </row>
    <row r="26" spans="1:26" x14ac:dyDescent="0.45">
      <c r="A26" s="11">
        <v>25</v>
      </c>
      <c r="B26" s="12" t="s">
        <v>10</v>
      </c>
      <c r="C26" s="20" t="s">
        <v>14</v>
      </c>
      <c r="D26" s="13">
        <v>9.6</v>
      </c>
      <c r="E26" s="12">
        <v>3</v>
      </c>
      <c r="F26" s="14">
        <v>54.66</v>
      </c>
      <c r="H26" s="27" t="s">
        <v>36</v>
      </c>
      <c r="I26" s="26">
        <v>50</v>
      </c>
      <c r="U26" s="22" t="s">
        <v>5</v>
      </c>
      <c r="V26" s="36">
        <v>90.37555555555555</v>
      </c>
    </row>
    <row r="27" spans="1:26" x14ac:dyDescent="0.45">
      <c r="A27" s="11">
        <v>26</v>
      </c>
      <c r="B27" s="12" t="s">
        <v>6</v>
      </c>
      <c r="C27" s="20" t="s">
        <v>13</v>
      </c>
      <c r="D27" s="13">
        <v>11</v>
      </c>
      <c r="E27" s="12">
        <v>2</v>
      </c>
      <c r="F27" s="14">
        <v>40.54</v>
      </c>
      <c r="U27" s="22" t="s">
        <v>7</v>
      </c>
      <c r="V27" s="36">
        <v>59.265714285714289</v>
      </c>
    </row>
    <row r="28" spans="1:26" x14ac:dyDescent="0.45">
      <c r="A28" s="11">
        <v>27</v>
      </c>
      <c r="B28" s="12" t="s">
        <v>8</v>
      </c>
      <c r="C28" s="20" t="s">
        <v>13</v>
      </c>
      <c r="D28" s="13">
        <v>16.899999999999999</v>
      </c>
      <c r="E28" s="12">
        <v>5</v>
      </c>
      <c r="F28" s="14">
        <v>34.69</v>
      </c>
      <c r="U28" s="22" t="s">
        <v>6</v>
      </c>
      <c r="V28" s="36">
        <v>59.32</v>
      </c>
    </row>
    <row r="29" spans="1:26" x14ac:dyDescent="0.45">
      <c r="A29" s="11">
        <v>28</v>
      </c>
      <c r="B29" s="12" t="s">
        <v>8</v>
      </c>
      <c r="C29" s="20" t="s">
        <v>14</v>
      </c>
      <c r="D29" s="13">
        <v>6</v>
      </c>
      <c r="E29" s="12">
        <v>4</v>
      </c>
      <c r="F29" s="14">
        <v>27.910000000000004</v>
      </c>
      <c r="U29" s="22" t="s">
        <v>11</v>
      </c>
      <c r="V29" s="36">
        <v>58.805999999999997</v>
      </c>
    </row>
    <row r="30" spans="1:26" x14ac:dyDescent="0.45">
      <c r="A30" s="11">
        <v>29</v>
      </c>
      <c r="B30" s="12" t="s">
        <v>10</v>
      </c>
      <c r="C30" s="20" t="s">
        <v>14</v>
      </c>
      <c r="D30" s="13">
        <v>32.9</v>
      </c>
      <c r="E30" s="12">
        <v>10</v>
      </c>
      <c r="F30" s="14">
        <v>155.30000000000001</v>
      </c>
      <c r="U30" s="22" t="s">
        <v>10</v>
      </c>
      <c r="V30" s="36">
        <v>85.948181818181823</v>
      </c>
    </row>
    <row r="31" spans="1:26" x14ac:dyDescent="0.45">
      <c r="A31" s="11">
        <v>30</v>
      </c>
      <c r="B31" s="12" t="s">
        <v>5</v>
      </c>
      <c r="C31" s="20" t="s">
        <v>12</v>
      </c>
      <c r="D31" s="13">
        <v>11.8</v>
      </c>
      <c r="E31" s="12">
        <v>9</v>
      </c>
      <c r="F31" s="14">
        <v>120.25</v>
      </c>
      <c r="U31" s="22" t="s">
        <v>8</v>
      </c>
      <c r="V31" s="36">
        <v>54.105714285714285</v>
      </c>
    </row>
    <row r="32" spans="1:26" x14ac:dyDescent="0.45">
      <c r="A32" s="11">
        <v>31</v>
      </c>
      <c r="B32" s="12" t="s">
        <v>11</v>
      </c>
      <c r="C32" s="20" t="s">
        <v>13</v>
      </c>
      <c r="D32" s="13">
        <v>7.1000000000000005</v>
      </c>
      <c r="E32" s="12">
        <v>2</v>
      </c>
      <c r="F32" s="14">
        <v>41.2</v>
      </c>
      <c r="U32" s="28" t="s">
        <v>36</v>
      </c>
      <c r="V32" s="37">
        <v>68.410200000000003</v>
      </c>
    </row>
    <row r="33" spans="1:9" x14ac:dyDescent="0.45">
      <c r="A33" s="11">
        <v>32</v>
      </c>
      <c r="B33" s="12" t="s">
        <v>10</v>
      </c>
      <c r="C33" s="20" t="s">
        <v>14</v>
      </c>
      <c r="D33" s="13">
        <v>18</v>
      </c>
      <c r="E33" s="12">
        <v>8</v>
      </c>
      <c r="F33" s="14">
        <v>134.4</v>
      </c>
    </row>
    <row r="34" spans="1:9" x14ac:dyDescent="0.45">
      <c r="A34" s="11">
        <v>33</v>
      </c>
      <c r="B34" s="12" t="s">
        <v>9</v>
      </c>
      <c r="C34" s="20" t="s">
        <v>13</v>
      </c>
      <c r="D34" s="13">
        <v>11.8</v>
      </c>
      <c r="E34" s="12">
        <v>4</v>
      </c>
      <c r="F34" s="14">
        <v>37.17</v>
      </c>
    </row>
    <row r="35" spans="1:9" x14ac:dyDescent="0.45">
      <c r="A35" s="11">
        <v>34</v>
      </c>
      <c r="B35" s="12" t="s">
        <v>10</v>
      </c>
      <c r="C35" s="20" t="s">
        <v>13</v>
      </c>
      <c r="D35" s="13">
        <v>9.1</v>
      </c>
      <c r="E35" s="12">
        <v>3</v>
      </c>
      <c r="F35" s="14">
        <v>52.09</v>
      </c>
    </row>
    <row r="36" spans="1:9" x14ac:dyDescent="0.45">
      <c r="A36" s="11">
        <v>35</v>
      </c>
      <c r="B36" s="12" t="s">
        <v>7</v>
      </c>
      <c r="C36" s="20" t="s">
        <v>13</v>
      </c>
      <c r="D36" s="13">
        <v>7.8</v>
      </c>
      <c r="E36" s="12">
        <v>5</v>
      </c>
      <c r="F36" s="14">
        <v>71.81</v>
      </c>
    </row>
    <row r="37" spans="1:9" x14ac:dyDescent="0.45">
      <c r="A37" s="11">
        <v>36</v>
      </c>
      <c r="B37" s="12" t="s">
        <v>5</v>
      </c>
      <c r="C37" s="20" t="s">
        <v>14</v>
      </c>
      <c r="D37" s="13">
        <v>16.5</v>
      </c>
      <c r="E37" s="12">
        <v>5</v>
      </c>
      <c r="F37" s="14">
        <v>59.989999999999995</v>
      </c>
    </row>
    <row r="38" spans="1:9" x14ac:dyDescent="0.45">
      <c r="A38" s="11">
        <v>37</v>
      </c>
      <c r="B38" s="12" t="s">
        <v>11</v>
      </c>
      <c r="C38" s="20" t="s">
        <v>14</v>
      </c>
      <c r="D38" s="13">
        <v>6.2</v>
      </c>
      <c r="E38" s="12">
        <v>4</v>
      </c>
      <c r="F38" s="14">
        <v>84.17</v>
      </c>
    </row>
    <row r="39" spans="1:9" x14ac:dyDescent="0.45">
      <c r="A39" s="11">
        <v>38</v>
      </c>
      <c r="B39" s="12" t="s">
        <v>8</v>
      </c>
      <c r="C39" s="20" t="s">
        <v>13</v>
      </c>
      <c r="D39" s="13">
        <v>11.3</v>
      </c>
      <c r="E39" s="12">
        <v>4</v>
      </c>
      <c r="F39" s="14">
        <v>55.58</v>
      </c>
      <c r="H39" s="26" t="s">
        <v>35</v>
      </c>
      <c r="I39" s="26" t="s">
        <v>38</v>
      </c>
    </row>
    <row r="40" spans="1:9" x14ac:dyDescent="0.45">
      <c r="A40" s="11">
        <v>39</v>
      </c>
      <c r="B40" s="12" t="s">
        <v>7</v>
      </c>
      <c r="C40" s="20" t="s">
        <v>13</v>
      </c>
      <c r="D40" s="13">
        <v>10.6</v>
      </c>
      <c r="E40" s="12">
        <v>2</v>
      </c>
      <c r="F40" s="14">
        <v>39.06</v>
      </c>
      <c r="H40" s="22" t="s">
        <v>39</v>
      </c>
      <c r="I40" s="21">
        <v>13</v>
      </c>
    </row>
    <row r="41" spans="1:9" x14ac:dyDescent="0.45">
      <c r="A41" s="11">
        <v>40</v>
      </c>
      <c r="B41" s="12" t="s">
        <v>6</v>
      </c>
      <c r="C41" s="20" t="s">
        <v>13</v>
      </c>
      <c r="D41" s="13">
        <v>5</v>
      </c>
      <c r="E41" s="12">
        <v>5</v>
      </c>
      <c r="F41" s="14">
        <v>36.480000000000004</v>
      </c>
      <c r="H41" s="22" t="s">
        <v>40</v>
      </c>
      <c r="I41" s="21">
        <v>21</v>
      </c>
    </row>
    <row r="42" spans="1:9" x14ac:dyDescent="0.45">
      <c r="A42" s="11">
        <v>41</v>
      </c>
      <c r="B42" s="12" t="s">
        <v>7</v>
      </c>
      <c r="C42" s="20" t="s">
        <v>12</v>
      </c>
      <c r="D42" s="13">
        <v>15.9</v>
      </c>
      <c r="E42" s="12">
        <v>4</v>
      </c>
      <c r="F42" s="14">
        <v>67.44</v>
      </c>
      <c r="H42" s="22" t="s">
        <v>41</v>
      </c>
      <c r="I42" s="21">
        <v>12</v>
      </c>
    </row>
    <row r="43" spans="1:9" x14ac:dyDescent="0.45">
      <c r="A43" s="11">
        <v>42</v>
      </c>
      <c r="B43" s="12" t="s">
        <v>8</v>
      </c>
      <c r="C43" s="20" t="s">
        <v>13</v>
      </c>
      <c r="D43" s="13">
        <v>18.100000000000001</v>
      </c>
      <c r="E43" s="12">
        <v>7</v>
      </c>
      <c r="F43" s="14">
        <v>60.14</v>
      </c>
      <c r="H43" s="22" t="s">
        <v>42</v>
      </c>
      <c r="I43" s="21">
        <v>4</v>
      </c>
    </row>
    <row r="44" spans="1:9" x14ac:dyDescent="0.45">
      <c r="A44" s="11">
        <v>43</v>
      </c>
      <c r="B44" s="12" t="s">
        <v>10</v>
      </c>
      <c r="C44" s="20" t="s">
        <v>14</v>
      </c>
      <c r="D44" s="13">
        <v>10.8</v>
      </c>
      <c r="E44" s="12">
        <v>4</v>
      </c>
      <c r="F44" s="14">
        <v>70.38</v>
      </c>
      <c r="H44" s="28" t="s">
        <v>36</v>
      </c>
      <c r="I44" s="26">
        <v>50</v>
      </c>
    </row>
    <row r="45" spans="1:9" x14ac:dyDescent="0.45">
      <c r="A45" s="11">
        <v>44</v>
      </c>
      <c r="B45" s="12" t="s">
        <v>5</v>
      </c>
      <c r="C45" s="20" t="s">
        <v>13</v>
      </c>
      <c r="D45" s="13">
        <v>13.3</v>
      </c>
      <c r="E45" s="12">
        <v>7</v>
      </c>
      <c r="F45" s="14">
        <v>110.65</v>
      </c>
    </row>
    <row r="46" spans="1:9" x14ac:dyDescent="0.45">
      <c r="A46" s="11">
        <v>45</v>
      </c>
      <c r="B46" s="12" t="s">
        <v>5</v>
      </c>
      <c r="C46" s="20" t="s">
        <v>13</v>
      </c>
      <c r="D46" s="13">
        <v>30.1</v>
      </c>
      <c r="E46" s="12">
        <v>6</v>
      </c>
      <c r="F46" s="14">
        <v>104.23</v>
      </c>
    </row>
    <row r="47" spans="1:9" x14ac:dyDescent="0.45">
      <c r="A47" s="11">
        <v>46</v>
      </c>
      <c r="B47" s="12" t="s">
        <v>10</v>
      </c>
      <c r="C47" s="20" t="s">
        <v>14</v>
      </c>
      <c r="D47" s="13">
        <v>13.700000000000001</v>
      </c>
      <c r="E47" s="12">
        <v>4</v>
      </c>
      <c r="F47" s="14">
        <v>68.17</v>
      </c>
    </row>
    <row r="48" spans="1:9" x14ac:dyDescent="0.45">
      <c r="A48" s="11">
        <v>47</v>
      </c>
      <c r="B48" s="12" t="s">
        <v>11</v>
      </c>
      <c r="C48" s="20" t="s">
        <v>13</v>
      </c>
      <c r="D48" s="13">
        <v>8.1</v>
      </c>
      <c r="E48" s="12">
        <v>2</v>
      </c>
      <c r="F48" s="14">
        <v>17.840000000000003</v>
      </c>
    </row>
    <row r="49" spans="1:9" x14ac:dyDescent="0.45">
      <c r="A49" s="11">
        <v>48</v>
      </c>
      <c r="B49" s="12" t="s">
        <v>10</v>
      </c>
      <c r="C49" s="20" t="s">
        <v>13</v>
      </c>
      <c r="D49" s="13">
        <v>9.6999999999999993</v>
      </c>
      <c r="E49" s="12">
        <v>5</v>
      </c>
      <c r="F49" s="14">
        <v>103.15</v>
      </c>
    </row>
    <row r="50" spans="1:9" x14ac:dyDescent="0.45">
      <c r="A50" s="11">
        <v>49</v>
      </c>
      <c r="B50" s="12" t="s">
        <v>5</v>
      </c>
      <c r="C50" s="20" t="s">
        <v>12</v>
      </c>
      <c r="D50" s="13">
        <v>7.3</v>
      </c>
      <c r="E50" s="12">
        <v>6</v>
      </c>
      <c r="F50" s="14">
        <v>52.150000000000006</v>
      </c>
    </row>
    <row r="51" spans="1:9" ht="15.75" thickBot="1" x14ac:dyDescent="0.5">
      <c r="A51" s="15">
        <v>50</v>
      </c>
      <c r="B51" s="16" t="s">
        <v>10</v>
      </c>
      <c r="C51" s="17" t="s">
        <v>13</v>
      </c>
      <c r="D51" s="18">
        <v>13.4</v>
      </c>
      <c r="E51" s="16">
        <v>3</v>
      </c>
      <c r="F51" s="19">
        <v>98.75</v>
      </c>
    </row>
    <row r="59" spans="1:9" x14ac:dyDescent="0.45">
      <c r="H59" s="26" t="s">
        <v>35</v>
      </c>
      <c r="I59" s="26" t="s">
        <v>44</v>
      </c>
    </row>
    <row r="60" spans="1:9" x14ac:dyDescent="0.45">
      <c r="H60" s="24" t="s">
        <v>45</v>
      </c>
      <c r="I60" s="21">
        <v>1</v>
      </c>
    </row>
    <row r="61" spans="1:9" x14ac:dyDescent="0.45">
      <c r="H61" s="24" t="s">
        <v>46</v>
      </c>
      <c r="I61" s="21">
        <v>5</v>
      </c>
    </row>
    <row r="62" spans="1:9" x14ac:dyDescent="0.45">
      <c r="H62" s="24" t="s">
        <v>47</v>
      </c>
      <c r="I62" s="21">
        <v>7</v>
      </c>
    </row>
    <row r="63" spans="1:9" x14ac:dyDescent="0.45">
      <c r="H63" s="24" t="s">
        <v>48</v>
      </c>
      <c r="I63" s="21">
        <v>7</v>
      </c>
    </row>
    <row r="64" spans="1:9" x14ac:dyDescent="0.45">
      <c r="H64" s="24" t="s">
        <v>49</v>
      </c>
      <c r="I64" s="21">
        <v>6</v>
      </c>
    </row>
    <row r="65" spans="8:9" x14ac:dyDescent="0.45">
      <c r="H65" s="24" t="s">
        <v>50</v>
      </c>
      <c r="I65" s="21">
        <v>10</v>
      </c>
    </row>
    <row r="66" spans="8:9" x14ac:dyDescent="0.45">
      <c r="H66" s="24" t="s">
        <v>51</v>
      </c>
      <c r="I66" s="21">
        <v>3</v>
      </c>
    </row>
    <row r="67" spans="8:9" x14ac:dyDescent="0.45">
      <c r="H67" s="24" t="s">
        <v>52</v>
      </c>
      <c r="I67" s="21">
        <v>1</v>
      </c>
    </row>
    <row r="68" spans="8:9" x14ac:dyDescent="0.45">
      <c r="H68" s="24" t="s">
        <v>53</v>
      </c>
      <c r="I68" s="21">
        <v>3</v>
      </c>
    </row>
    <row r="69" spans="8:9" x14ac:dyDescent="0.45">
      <c r="H69" s="24" t="s">
        <v>54</v>
      </c>
      <c r="I69" s="21">
        <v>2</v>
      </c>
    </row>
    <row r="70" spans="8:9" x14ac:dyDescent="0.45">
      <c r="H70" s="24" t="s">
        <v>55</v>
      </c>
      <c r="I70" s="21">
        <v>1</v>
      </c>
    </row>
    <row r="71" spans="8:9" x14ac:dyDescent="0.45">
      <c r="H71" s="24" t="s">
        <v>56</v>
      </c>
      <c r="I71" s="21">
        <v>2</v>
      </c>
    </row>
    <row r="72" spans="8:9" x14ac:dyDescent="0.45">
      <c r="H72" s="24" t="s">
        <v>57</v>
      </c>
      <c r="I72" s="21">
        <v>2</v>
      </c>
    </row>
    <row r="73" spans="8:9" x14ac:dyDescent="0.45">
      <c r="H73" s="38" t="s">
        <v>36</v>
      </c>
      <c r="I73" s="26">
        <v>50</v>
      </c>
    </row>
  </sheetData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Araceli Gonzalez</dc:creator>
  <cp:lastModifiedBy>Sabrina K. Sanichar</cp:lastModifiedBy>
  <dcterms:created xsi:type="dcterms:W3CDTF">2009-03-09T11:29:02Z</dcterms:created>
  <dcterms:modified xsi:type="dcterms:W3CDTF">2026-06-14T12:35:50Z</dcterms:modified>
</cp:coreProperties>
</file>